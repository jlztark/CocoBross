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2E53C4B6-A4E2-4E4E-8A06-90ED18BAF2A5}" xr6:coauthVersionLast="47" xr6:coauthVersionMax="47" xr10:uidLastSave="{00000000-0000-0000-0000-000000000000}"/>
  <bookViews>
    <workbookView xWindow="-120" yWindow="-120" windowWidth="20730" windowHeight="11160" xr2:uid="{9B304E26-0708-4FE1-8548-78D1631931F0}"/>
  </bookViews>
  <sheets>
    <sheet name="Venta" sheetId="8" r:id="rId1"/>
    <sheet name="Movimientos" sheetId="5" r:id="rId2"/>
    <sheet name="Calculos" sheetId="4" r:id="rId3"/>
    <sheet name="Caja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4" l="1"/>
  <c r="C4" i="4"/>
  <c r="C9" i="4"/>
  <c r="H17" i="4"/>
  <c r="I10" i="4"/>
  <c r="I16" i="4"/>
  <c r="I15" i="4"/>
  <c r="I14" i="4"/>
  <c r="I9" i="4"/>
  <c r="I12" i="4"/>
  <c r="D12" i="4"/>
  <c r="D10" i="4"/>
  <c r="I13" i="4"/>
  <c r="I11" i="4"/>
  <c r="D11" i="4"/>
  <c r="D14" i="4"/>
  <c r="D13" i="4"/>
</calcChain>
</file>

<file path=xl/sharedStrings.xml><?xml version="1.0" encoding="utf-8"?>
<sst xmlns="http://schemas.openxmlformats.org/spreadsheetml/2006/main" count="64" uniqueCount="39">
  <si>
    <t>Ingresar token:</t>
  </si>
  <si>
    <t>Ingresar DNI:</t>
  </si>
  <si>
    <t>Ingresar RUC:</t>
  </si>
  <si>
    <t>7ed005039e5251b35b57e07c35fbb565536231ce802a73aec8e631dad7e05543</t>
  </si>
  <si>
    <t>DNI</t>
  </si>
  <si>
    <t>RUC:</t>
  </si>
  <si>
    <t>DNI:</t>
  </si>
  <si>
    <t>Nombres:</t>
  </si>
  <si>
    <t>Apellido P:</t>
  </si>
  <si>
    <t>Apellido M:</t>
  </si>
  <si>
    <t>Codigo:</t>
  </si>
  <si>
    <t>RUC</t>
  </si>
  <si>
    <t>Estado</t>
  </si>
  <si>
    <t>Condición</t>
  </si>
  <si>
    <t>Razón Social:</t>
  </si>
  <si>
    <t>Departamento:</t>
  </si>
  <si>
    <t>Provincia:</t>
  </si>
  <si>
    <t>Distrito:</t>
  </si>
  <si>
    <t>Dirección:</t>
  </si>
  <si>
    <t>ServicioWeb</t>
  </si>
  <si>
    <t>20604891397</t>
  </si>
  <si>
    <t>PRODUCTO</t>
  </si>
  <si>
    <t>CODIGO</t>
  </si>
  <si>
    <t>FECHA</t>
  </si>
  <si>
    <t>CANTIDAD</t>
  </si>
  <si>
    <t>MOVIMIENTO</t>
  </si>
  <si>
    <t>ENTRADAS</t>
  </si>
  <si>
    <t>DEVOLUCIONES</t>
  </si>
  <si>
    <t>CONFIRMAR</t>
  </si>
  <si>
    <t>de</t>
  </si>
  <si>
    <t>efe</t>
  </si>
  <si>
    <t>ssss</t>
  </si>
  <si>
    <t>Mi amor</t>
  </si>
  <si>
    <t>Kriss</t>
  </si>
  <si>
    <t>♥♥♥♥♥♥♥♥♥♥</t>
  </si>
  <si>
    <t xml:space="preserve">Te amo </t>
  </si>
  <si>
    <t>73500100</t>
  </si>
  <si>
    <t>PRODUCTOS</t>
  </si>
  <si>
    <t>CLIENTES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</si>
</sst>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1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4" borderId="0" xfId="0" applyFill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14" fontId="3" fillId="4" borderId="7" xfId="0" applyNumberFormat="1" applyFont="1" applyFill="1" applyBorder="1" applyAlignment="1">
      <alignment horizontal="center"/>
    </xf>
    <xf numFmtId="14" fontId="3" fillId="4" borderId="8" xfId="0" applyNumberFormat="1" applyFont="1" applyFill="1" applyBorder="1" applyAlignment="1">
      <alignment horizontal="center"/>
    </xf>
    <xf numFmtId="14" fontId="3" fillId="4" borderId="9" xfId="0" applyNumberFormat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38100</xdr:rowOff>
        </xdr:from>
        <xdr:to>
          <xdr:col>6</xdr:col>
          <xdr:colOff>762000</xdr:colOff>
          <xdr:row>3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2BF50-0C5B-4F91-B0E6-79B6F577667D}">
  <sheetPr codeName="Hoja3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AD44C-C292-4741-9E8E-1B47E6CB8645}">
  <sheetPr codeName="Hoja5"/>
  <dimension ref="A1:N350"/>
  <sheetViews>
    <sheetView zoomScaleNormal="100" workbookViewId="0">
      <selection activeCell="B7" sqref="B7"/>
    </sheetView>
  </sheetViews>
  <sheetFormatPr baseColWidth="10" defaultRowHeight="20.100000000000001" customHeight="1" x14ac:dyDescent="0.25"/>
  <cols>
    <col min="1" max="1" width="11.42578125" style="1"/>
    <col min="2" max="2" width="13.28515625" style="1" bestFit="1" customWidth="1"/>
    <col min="3" max="3" width="16.7109375" style="1" bestFit="1" customWidth="1"/>
    <col min="4" max="4" width="8.28515625" style="1" bestFit="1" customWidth="1"/>
    <col min="5" max="5" width="10.85546875" style="1" bestFit="1" customWidth="1"/>
    <col min="6" max="6" width="10.28515625" style="1" bestFit="1" customWidth="1"/>
    <col min="7" max="7" width="11.85546875" style="1" bestFit="1" customWidth="1"/>
    <col min="8" max="8" width="11.42578125" style="1"/>
    <col min="9" max="9" width="13.28515625" style="1" bestFit="1" customWidth="1"/>
    <col min="10" max="10" width="6.7109375" style="1" bestFit="1" customWidth="1"/>
    <col min="11" max="11" width="8.28515625" style="1" bestFit="1" customWidth="1"/>
    <col min="12" max="12" width="10.85546875" style="1" bestFit="1" customWidth="1"/>
    <col min="13" max="13" width="10.28515625" style="1" bestFit="1" customWidth="1"/>
    <col min="14" max="14" width="11.85546875" style="1" bestFit="1" customWidth="1"/>
    <col min="15" max="16384" width="11.42578125" style="1"/>
  </cols>
  <sheetData>
    <row r="1" spans="1:14" ht="20.100000000000001" customHeight="1" x14ac:dyDescent="0.25">
      <c r="A1" s="11"/>
    </row>
    <row r="2" spans="1:14" ht="20.100000000000001" customHeight="1" x14ac:dyDescent="0.25">
      <c r="B2" s="13" t="s">
        <v>26</v>
      </c>
      <c r="C2" s="13"/>
      <c r="D2" s="13"/>
      <c r="E2" s="13"/>
      <c r="F2" s="13"/>
      <c r="G2" s="13"/>
      <c r="I2" s="13" t="s">
        <v>27</v>
      </c>
      <c r="J2" s="13"/>
      <c r="K2" s="13"/>
      <c r="L2" s="13"/>
      <c r="M2" s="13"/>
      <c r="N2" s="13"/>
    </row>
    <row r="3" spans="1:14" ht="20.100000000000001" customHeight="1" x14ac:dyDescent="0.25">
      <c r="B3" s="7" t="s">
        <v>25</v>
      </c>
      <c r="C3" s="7" t="s">
        <v>23</v>
      </c>
      <c r="D3" s="9" t="s">
        <v>22</v>
      </c>
      <c r="E3" s="9" t="s">
        <v>21</v>
      </c>
      <c r="F3" s="9" t="s">
        <v>24</v>
      </c>
      <c r="G3" s="9" t="s">
        <v>28</v>
      </c>
      <c r="I3" s="7" t="s">
        <v>25</v>
      </c>
      <c r="J3" s="7" t="s">
        <v>23</v>
      </c>
      <c r="K3" s="9" t="s">
        <v>22</v>
      </c>
      <c r="L3" s="9" t="s">
        <v>21</v>
      </c>
      <c r="M3" s="9" t="s">
        <v>24</v>
      </c>
      <c r="N3" s="9" t="s">
        <v>28</v>
      </c>
    </row>
    <row r="4" spans="1:14" ht="20.100000000000001" customHeight="1" x14ac:dyDescent="0.25">
      <c r="B4" s="7">
        <v>1</v>
      </c>
      <c r="C4" s="10">
        <v>45188.940451388888</v>
      </c>
      <c r="D4" s="9" t="s">
        <v>29</v>
      </c>
      <c r="E4" s="9" t="s">
        <v>30</v>
      </c>
      <c r="F4" s="9" t="s">
        <v>31</v>
      </c>
      <c r="G4" s="9"/>
      <c r="I4" s="7">
        <v>1</v>
      </c>
      <c r="J4" s="7"/>
      <c r="K4" s="9"/>
      <c r="L4" s="9"/>
      <c r="M4" s="9"/>
      <c r="N4" s="9"/>
    </row>
    <row r="5" spans="1:14" ht="20.100000000000001" customHeight="1" x14ac:dyDescent="0.25">
      <c r="D5" s="8"/>
      <c r="E5" s="8"/>
      <c r="F5" s="8"/>
      <c r="G5" s="8"/>
      <c r="K5" s="8"/>
      <c r="L5" s="8"/>
      <c r="M5" s="8"/>
      <c r="N5" s="8"/>
    </row>
    <row r="6" spans="1:14" ht="20.100000000000001" customHeight="1" x14ac:dyDescent="0.25">
      <c r="B6" s="13" t="s">
        <v>37</v>
      </c>
      <c r="C6" s="13"/>
      <c r="D6" s="13"/>
      <c r="E6" s="13"/>
      <c r="F6" s="13"/>
      <c r="G6" s="13"/>
      <c r="I6" s="13" t="s">
        <v>38</v>
      </c>
      <c r="J6" s="13"/>
      <c r="K6" s="13"/>
      <c r="L6" s="13"/>
      <c r="M6" s="13"/>
      <c r="N6" s="13"/>
    </row>
    <row r="7" spans="1:14" ht="20.100000000000001" customHeight="1" x14ac:dyDescent="0.25">
      <c r="B7" s="7" t="s">
        <v>25</v>
      </c>
      <c r="C7" s="7" t="s">
        <v>23</v>
      </c>
      <c r="D7" s="9" t="s">
        <v>22</v>
      </c>
      <c r="E7" s="9" t="s">
        <v>21</v>
      </c>
      <c r="F7" s="9" t="s">
        <v>24</v>
      </c>
      <c r="G7" s="9" t="s">
        <v>28</v>
      </c>
      <c r="I7" s="7" t="s">
        <v>25</v>
      </c>
      <c r="J7" s="7" t="s">
        <v>23</v>
      </c>
      <c r="K7" s="9" t="s">
        <v>22</v>
      </c>
      <c r="L7" s="9" t="s">
        <v>21</v>
      </c>
      <c r="M7" s="9" t="s">
        <v>24</v>
      </c>
      <c r="N7" s="9" t="s">
        <v>28</v>
      </c>
    </row>
    <row r="8" spans="1:14" ht="20.100000000000001" customHeight="1" x14ac:dyDescent="0.25">
      <c r="B8" s="7">
        <v>1</v>
      </c>
      <c r="C8" s="10">
        <v>45188.940451388888</v>
      </c>
      <c r="D8" s="9" t="s">
        <v>29</v>
      </c>
      <c r="E8" s="9" t="s">
        <v>30</v>
      </c>
      <c r="F8" s="9" t="s">
        <v>31</v>
      </c>
      <c r="G8" s="9"/>
      <c r="I8" s="7">
        <v>1</v>
      </c>
      <c r="J8" s="10">
        <v>45188.940451388888</v>
      </c>
      <c r="K8" s="9" t="s">
        <v>29</v>
      </c>
      <c r="L8" s="9" t="s">
        <v>30</v>
      </c>
      <c r="M8" s="9" t="s">
        <v>31</v>
      </c>
      <c r="N8" s="9"/>
    </row>
    <row r="9" spans="1:14" ht="20.100000000000001" customHeight="1" x14ac:dyDescent="0.25">
      <c r="D9" s="8"/>
      <c r="E9" s="8"/>
      <c r="F9" s="8"/>
      <c r="G9" s="8"/>
      <c r="K9" s="8"/>
      <c r="L9" s="8"/>
      <c r="M9" s="8"/>
      <c r="N9" s="8"/>
    </row>
    <row r="10" spans="1:14" ht="20.100000000000001" customHeight="1" x14ac:dyDescent="0.25">
      <c r="D10" s="8"/>
      <c r="E10" s="8"/>
      <c r="F10" s="8"/>
      <c r="G10" s="8"/>
      <c r="K10" s="8"/>
      <c r="L10" s="8"/>
      <c r="M10" s="8"/>
      <c r="N10" s="8"/>
    </row>
    <row r="11" spans="1:14" ht="20.100000000000001" customHeight="1" x14ac:dyDescent="0.25">
      <c r="D11" s="8"/>
      <c r="E11" s="8"/>
      <c r="F11" s="8"/>
      <c r="G11" s="8"/>
      <c r="K11" s="8"/>
      <c r="L11" s="8"/>
      <c r="M11" s="8"/>
      <c r="N11" s="8"/>
    </row>
    <row r="12" spans="1:14" ht="20.100000000000001" customHeight="1" x14ac:dyDescent="0.25">
      <c r="D12" s="8"/>
      <c r="E12" s="8"/>
      <c r="F12" s="8"/>
      <c r="G12" s="8"/>
      <c r="K12" s="8"/>
      <c r="L12" s="8"/>
      <c r="M12" s="8"/>
      <c r="N12" s="8"/>
    </row>
    <row r="13" spans="1:14" ht="20.100000000000001" customHeight="1" x14ac:dyDescent="0.25">
      <c r="D13" s="8"/>
      <c r="E13" s="8"/>
      <c r="F13" s="8"/>
      <c r="G13" s="8"/>
      <c r="K13" s="8"/>
      <c r="L13" s="8"/>
      <c r="M13" s="8"/>
      <c r="N13" s="8"/>
    </row>
    <row r="14" spans="1:14" ht="20.100000000000001" customHeight="1" x14ac:dyDescent="0.25">
      <c r="D14" s="8"/>
      <c r="E14" s="8"/>
      <c r="F14" s="8"/>
      <c r="G14" s="8"/>
      <c r="K14" s="8"/>
      <c r="L14" s="8"/>
      <c r="M14" s="8"/>
      <c r="N14" s="8"/>
    </row>
    <row r="15" spans="1:14" ht="20.100000000000001" customHeight="1" x14ac:dyDescent="0.25">
      <c r="D15" s="8"/>
      <c r="E15" s="8"/>
      <c r="F15" s="8"/>
      <c r="G15" s="8"/>
      <c r="K15" s="8"/>
      <c r="L15" s="8"/>
      <c r="M15" s="8"/>
      <c r="N15" s="8"/>
    </row>
    <row r="16" spans="1:14" ht="20.100000000000001" customHeight="1" x14ac:dyDescent="0.25">
      <c r="D16" s="8"/>
      <c r="E16" s="8"/>
      <c r="F16" s="8"/>
      <c r="G16" s="8"/>
      <c r="K16" s="8"/>
      <c r="L16" s="8"/>
      <c r="M16" s="8"/>
      <c r="N16" s="8"/>
    </row>
    <row r="17" spans="4:14" ht="20.100000000000001" customHeight="1" x14ac:dyDescent="0.25">
      <c r="D17" s="8"/>
      <c r="E17" s="8"/>
      <c r="F17" s="8"/>
      <c r="G17" s="8"/>
      <c r="K17" s="8"/>
      <c r="L17" s="8"/>
      <c r="M17" s="8"/>
      <c r="N17" s="8"/>
    </row>
    <row r="18" spans="4:14" ht="20.100000000000001" customHeight="1" x14ac:dyDescent="0.25">
      <c r="D18" s="8"/>
      <c r="E18" s="8"/>
      <c r="F18" s="8"/>
      <c r="G18" s="8"/>
      <c r="K18" s="8"/>
      <c r="L18" s="8"/>
      <c r="M18" s="8"/>
      <c r="N18" s="8"/>
    </row>
    <row r="19" spans="4:14" ht="20.100000000000001" customHeight="1" x14ac:dyDescent="0.25">
      <c r="D19" s="8"/>
      <c r="E19" s="8"/>
      <c r="F19" s="8"/>
      <c r="G19" s="8"/>
      <c r="K19" s="8"/>
      <c r="L19" s="8"/>
      <c r="M19" s="8"/>
      <c r="N19" s="8"/>
    </row>
    <row r="20" spans="4:14" ht="20.100000000000001" customHeight="1" x14ac:dyDescent="0.25">
      <c r="D20" s="8"/>
      <c r="E20" s="8"/>
      <c r="F20" s="8"/>
      <c r="G20" s="8"/>
      <c r="K20" s="8"/>
      <c r="L20" s="8"/>
      <c r="M20" s="8"/>
      <c r="N20" s="8"/>
    </row>
    <row r="21" spans="4:14" ht="20.100000000000001" customHeight="1" x14ac:dyDescent="0.25">
      <c r="D21" s="8"/>
      <c r="E21" s="8"/>
      <c r="F21" s="8"/>
      <c r="G21" s="8"/>
      <c r="K21" s="8"/>
      <c r="L21" s="8"/>
      <c r="M21" s="8"/>
      <c r="N21" s="8"/>
    </row>
    <row r="22" spans="4:14" ht="20.100000000000001" customHeight="1" x14ac:dyDescent="0.25">
      <c r="D22" s="8"/>
      <c r="E22" s="8"/>
      <c r="F22" s="8"/>
      <c r="G22" s="8"/>
      <c r="K22" s="8"/>
      <c r="L22" s="8"/>
      <c r="M22" s="8"/>
      <c r="N22" s="8"/>
    </row>
    <row r="23" spans="4:14" ht="20.100000000000001" customHeight="1" x14ac:dyDescent="0.25">
      <c r="D23" s="8"/>
      <c r="E23" s="8"/>
      <c r="F23" s="8"/>
      <c r="G23" s="8"/>
      <c r="K23" s="8"/>
      <c r="L23" s="8"/>
      <c r="M23" s="8"/>
      <c r="N23" s="8"/>
    </row>
    <row r="24" spans="4:14" ht="20.100000000000001" customHeight="1" x14ac:dyDescent="0.25">
      <c r="D24" s="8"/>
      <c r="E24" s="8"/>
      <c r="F24" s="8"/>
      <c r="G24" s="8"/>
      <c r="K24" s="8"/>
      <c r="L24" s="8"/>
      <c r="M24" s="8"/>
      <c r="N24" s="8"/>
    </row>
    <row r="25" spans="4:14" ht="20.100000000000001" customHeight="1" x14ac:dyDescent="0.25">
      <c r="D25" s="8"/>
      <c r="E25" s="8"/>
      <c r="F25" s="8"/>
      <c r="G25" s="8"/>
      <c r="K25" s="8"/>
      <c r="L25" s="8"/>
      <c r="M25" s="8"/>
      <c r="N25" s="8"/>
    </row>
    <row r="26" spans="4:14" ht="20.100000000000001" customHeight="1" x14ac:dyDescent="0.25">
      <c r="D26" s="8"/>
      <c r="E26" s="8"/>
      <c r="F26" s="8"/>
      <c r="G26" s="8"/>
      <c r="K26" s="8"/>
      <c r="L26" s="8"/>
      <c r="M26" s="8"/>
      <c r="N26" s="8"/>
    </row>
    <row r="27" spans="4:14" ht="20.100000000000001" customHeight="1" x14ac:dyDescent="0.25">
      <c r="D27" s="8"/>
      <c r="E27" s="8"/>
      <c r="F27" s="8"/>
      <c r="G27" s="8"/>
      <c r="K27" s="8"/>
      <c r="L27" s="8"/>
      <c r="M27" s="8"/>
      <c r="N27" s="8"/>
    </row>
    <row r="28" spans="4:14" ht="20.100000000000001" customHeight="1" x14ac:dyDescent="0.25">
      <c r="D28" s="8"/>
      <c r="E28" s="8"/>
      <c r="F28" s="8"/>
      <c r="G28" s="8"/>
      <c r="K28" s="8"/>
      <c r="L28" s="8"/>
      <c r="M28" s="8"/>
      <c r="N28" s="8"/>
    </row>
    <row r="29" spans="4:14" ht="20.100000000000001" customHeight="1" x14ac:dyDescent="0.25">
      <c r="D29" s="8"/>
      <c r="E29" s="8"/>
      <c r="F29" s="8"/>
      <c r="G29" s="8"/>
      <c r="K29" s="8"/>
      <c r="L29" s="8"/>
      <c r="M29" s="8"/>
      <c r="N29" s="8"/>
    </row>
    <row r="30" spans="4:14" ht="20.100000000000001" customHeight="1" x14ac:dyDescent="0.25">
      <c r="D30" s="8"/>
      <c r="E30" s="8"/>
      <c r="F30" s="8"/>
      <c r="G30" s="8"/>
      <c r="K30" s="8"/>
      <c r="L30" s="8"/>
      <c r="M30" s="8"/>
      <c r="N30" s="8"/>
    </row>
    <row r="31" spans="4:14" ht="20.100000000000001" customHeight="1" x14ac:dyDescent="0.25">
      <c r="D31" s="8"/>
      <c r="E31" s="8"/>
      <c r="F31" s="8"/>
      <c r="G31" s="8"/>
      <c r="K31" s="8"/>
      <c r="L31" s="8"/>
      <c r="M31" s="8"/>
      <c r="N31" s="8"/>
    </row>
    <row r="32" spans="4:14" ht="20.100000000000001" customHeight="1" x14ac:dyDescent="0.25">
      <c r="D32" s="8"/>
      <c r="E32" s="8"/>
      <c r="F32" s="8"/>
      <c r="G32" s="8"/>
      <c r="K32" s="8"/>
      <c r="L32" s="8"/>
      <c r="M32" s="8"/>
      <c r="N32" s="8"/>
    </row>
    <row r="33" spans="4:14" ht="20.100000000000001" customHeight="1" x14ac:dyDescent="0.25">
      <c r="D33" s="8"/>
      <c r="E33" s="8"/>
      <c r="F33" s="8"/>
      <c r="G33" s="8"/>
      <c r="K33" s="8"/>
      <c r="L33" s="8"/>
      <c r="M33" s="8"/>
      <c r="N33" s="8"/>
    </row>
    <row r="34" spans="4:14" ht="20.100000000000001" customHeight="1" x14ac:dyDescent="0.25">
      <c r="D34" s="8"/>
      <c r="E34" s="8"/>
      <c r="F34" s="8"/>
      <c r="G34" s="8"/>
      <c r="K34" s="8"/>
      <c r="L34" s="8"/>
      <c r="M34" s="8"/>
      <c r="N34" s="8"/>
    </row>
    <row r="35" spans="4:14" ht="20.100000000000001" customHeight="1" x14ac:dyDescent="0.25">
      <c r="D35" s="8"/>
      <c r="E35" s="8"/>
      <c r="F35" s="8"/>
      <c r="G35" s="8"/>
      <c r="K35" s="8"/>
      <c r="L35" s="8"/>
      <c r="M35" s="8"/>
      <c r="N35" s="8"/>
    </row>
    <row r="36" spans="4:14" ht="20.100000000000001" customHeight="1" x14ac:dyDescent="0.25">
      <c r="D36" s="8"/>
      <c r="E36" s="8"/>
      <c r="F36" s="8"/>
      <c r="G36" s="8"/>
      <c r="K36" s="8"/>
      <c r="L36" s="8"/>
      <c r="M36" s="8"/>
      <c r="N36" s="8"/>
    </row>
    <row r="37" spans="4:14" ht="20.100000000000001" customHeight="1" x14ac:dyDescent="0.25">
      <c r="D37" s="8"/>
      <c r="E37" s="8"/>
      <c r="F37" s="8"/>
      <c r="G37" s="8"/>
      <c r="K37" s="8"/>
      <c r="L37" s="8"/>
      <c r="M37" s="8"/>
      <c r="N37" s="8"/>
    </row>
    <row r="38" spans="4:14" ht="20.100000000000001" customHeight="1" x14ac:dyDescent="0.25">
      <c r="D38" s="8"/>
      <c r="E38" s="8"/>
      <c r="F38" s="8"/>
      <c r="G38" s="8"/>
      <c r="K38" s="8"/>
      <c r="L38" s="8"/>
      <c r="M38" s="8"/>
      <c r="N38" s="8"/>
    </row>
    <row r="39" spans="4:14" ht="20.100000000000001" customHeight="1" x14ac:dyDescent="0.25">
      <c r="D39" s="8"/>
      <c r="E39" s="8"/>
      <c r="F39" s="8"/>
      <c r="G39" s="8"/>
      <c r="K39" s="8"/>
      <c r="L39" s="8"/>
      <c r="M39" s="8"/>
      <c r="N39" s="8"/>
    </row>
    <row r="40" spans="4:14" ht="20.100000000000001" customHeight="1" x14ac:dyDescent="0.25">
      <c r="D40" s="8"/>
      <c r="E40" s="8"/>
      <c r="F40" s="8"/>
      <c r="G40" s="8"/>
      <c r="K40" s="8"/>
      <c r="L40" s="8"/>
      <c r="M40" s="8"/>
      <c r="N40" s="8"/>
    </row>
    <row r="41" spans="4:14" ht="20.100000000000001" customHeight="1" x14ac:dyDescent="0.25">
      <c r="D41" s="8"/>
      <c r="E41" s="8"/>
      <c r="F41" s="8"/>
      <c r="G41" s="8"/>
      <c r="K41" s="8"/>
      <c r="L41" s="8"/>
      <c r="M41" s="8"/>
      <c r="N41" s="8"/>
    </row>
    <row r="42" spans="4:14" ht="20.100000000000001" customHeight="1" x14ac:dyDescent="0.25">
      <c r="D42" s="8"/>
      <c r="E42" s="8"/>
      <c r="F42" s="8"/>
      <c r="G42" s="8"/>
      <c r="K42" s="8"/>
      <c r="L42" s="8"/>
      <c r="M42" s="8"/>
      <c r="N42" s="8"/>
    </row>
    <row r="43" spans="4:14" ht="20.100000000000001" customHeight="1" x14ac:dyDescent="0.25">
      <c r="D43" s="8"/>
      <c r="E43" s="8"/>
      <c r="F43" s="8"/>
      <c r="G43" s="8"/>
      <c r="K43" s="8"/>
      <c r="L43" s="8"/>
      <c r="M43" s="8"/>
      <c r="N43" s="8"/>
    </row>
    <row r="44" spans="4:14" ht="20.100000000000001" customHeight="1" x14ac:dyDescent="0.25">
      <c r="D44" s="8"/>
      <c r="E44" s="8"/>
      <c r="F44" s="8"/>
      <c r="G44" s="8"/>
      <c r="K44" s="8"/>
      <c r="L44" s="8"/>
      <c r="M44" s="8"/>
      <c r="N44" s="8"/>
    </row>
    <row r="45" spans="4:14" ht="20.100000000000001" customHeight="1" x14ac:dyDescent="0.25">
      <c r="D45" s="8"/>
      <c r="E45" s="8"/>
      <c r="F45" s="8"/>
      <c r="G45" s="8"/>
      <c r="K45" s="8"/>
      <c r="L45" s="8"/>
      <c r="M45" s="8"/>
      <c r="N45" s="8"/>
    </row>
    <row r="46" spans="4:14" ht="20.100000000000001" customHeight="1" x14ac:dyDescent="0.25">
      <c r="D46" s="8"/>
      <c r="E46" s="8"/>
      <c r="F46" s="8"/>
      <c r="G46" s="8"/>
      <c r="K46" s="8"/>
      <c r="L46" s="8"/>
      <c r="M46" s="8"/>
      <c r="N46" s="8"/>
    </row>
    <row r="47" spans="4:14" ht="20.100000000000001" customHeight="1" x14ac:dyDescent="0.25">
      <c r="D47" s="8"/>
      <c r="E47" s="8"/>
      <c r="F47" s="8"/>
      <c r="G47" s="8"/>
      <c r="K47" s="8"/>
      <c r="L47" s="8"/>
      <c r="M47" s="8"/>
      <c r="N47" s="8"/>
    </row>
    <row r="48" spans="4:14" ht="20.100000000000001" customHeight="1" x14ac:dyDescent="0.25">
      <c r="D48" s="8"/>
      <c r="E48" s="8"/>
      <c r="F48" s="8"/>
      <c r="G48" s="8"/>
      <c r="K48" s="8"/>
      <c r="L48" s="8"/>
      <c r="M48" s="8"/>
      <c r="N48" s="8"/>
    </row>
    <row r="49" spans="4:14" ht="20.100000000000001" customHeight="1" x14ac:dyDescent="0.25">
      <c r="D49" s="8"/>
      <c r="E49" s="8"/>
      <c r="F49" s="8"/>
      <c r="G49" s="8"/>
      <c r="K49" s="8"/>
      <c r="L49" s="8"/>
      <c r="M49" s="8"/>
      <c r="N49" s="8"/>
    </row>
    <row r="50" spans="4:14" ht="20.100000000000001" customHeight="1" x14ac:dyDescent="0.25">
      <c r="D50" s="8"/>
      <c r="E50" s="8"/>
      <c r="F50" s="8"/>
      <c r="G50" s="8"/>
      <c r="K50" s="8"/>
      <c r="L50" s="8"/>
      <c r="M50" s="8"/>
      <c r="N50" s="8"/>
    </row>
    <row r="51" spans="4:14" ht="20.100000000000001" customHeight="1" x14ac:dyDescent="0.25">
      <c r="D51" s="8"/>
      <c r="E51" s="8"/>
      <c r="F51" s="8"/>
      <c r="G51" s="8"/>
      <c r="K51" s="8"/>
      <c r="L51" s="8"/>
      <c r="M51" s="8"/>
      <c r="N51" s="8"/>
    </row>
    <row r="52" spans="4:14" ht="20.100000000000001" customHeight="1" x14ac:dyDescent="0.25">
      <c r="D52" s="8"/>
      <c r="E52" s="8"/>
      <c r="F52" s="8"/>
      <c r="G52" s="8"/>
      <c r="K52" s="8"/>
      <c r="L52" s="8"/>
      <c r="M52" s="8"/>
      <c r="N52" s="8"/>
    </row>
    <row r="53" spans="4:14" ht="20.100000000000001" customHeight="1" x14ac:dyDescent="0.25">
      <c r="D53" s="8"/>
      <c r="E53" s="8"/>
      <c r="F53" s="8"/>
      <c r="G53" s="8"/>
      <c r="K53" s="8"/>
      <c r="L53" s="8"/>
      <c r="M53" s="8"/>
      <c r="N53" s="8"/>
    </row>
    <row r="54" spans="4:14" ht="20.100000000000001" customHeight="1" x14ac:dyDescent="0.25">
      <c r="D54" s="8"/>
      <c r="E54" s="8"/>
      <c r="F54" s="8"/>
      <c r="G54" s="8"/>
      <c r="K54" s="8"/>
      <c r="L54" s="8"/>
      <c r="M54" s="8"/>
      <c r="N54" s="8"/>
    </row>
    <row r="55" spans="4:14" ht="20.100000000000001" customHeight="1" x14ac:dyDescent="0.25">
      <c r="D55" s="8"/>
      <c r="E55" s="8"/>
      <c r="F55" s="8"/>
      <c r="G55" s="8"/>
      <c r="K55" s="8"/>
      <c r="L55" s="8"/>
      <c r="M55" s="8"/>
      <c r="N55" s="8"/>
    </row>
    <row r="56" spans="4:14" ht="20.100000000000001" customHeight="1" x14ac:dyDescent="0.25">
      <c r="D56" s="8"/>
      <c r="E56" s="8"/>
      <c r="F56" s="8"/>
      <c r="G56" s="8"/>
      <c r="K56" s="8"/>
      <c r="L56" s="8"/>
      <c r="M56" s="8"/>
      <c r="N56" s="8"/>
    </row>
    <row r="57" spans="4:14" ht="20.100000000000001" customHeight="1" x14ac:dyDescent="0.25">
      <c r="D57" s="8"/>
      <c r="E57" s="8"/>
      <c r="F57" s="8"/>
      <c r="G57" s="8"/>
      <c r="K57" s="8"/>
      <c r="L57" s="8"/>
      <c r="M57" s="8"/>
      <c r="N57" s="8"/>
    </row>
    <row r="58" spans="4:14" ht="20.100000000000001" customHeight="1" x14ac:dyDescent="0.25">
      <c r="D58" s="8"/>
      <c r="E58" s="8"/>
      <c r="F58" s="8"/>
      <c r="G58" s="8"/>
      <c r="K58" s="8"/>
      <c r="L58" s="8"/>
      <c r="M58" s="8"/>
      <c r="N58" s="8"/>
    </row>
    <row r="59" spans="4:14" ht="20.100000000000001" customHeight="1" x14ac:dyDescent="0.25">
      <c r="D59" s="8"/>
      <c r="E59" s="8"/>
      <c r="F59" s="8"/>
      <c r="G59" s="8"/>
      <c r="K59" s="8"/>
      <c r="L59" s="8"/>
      <c r="M59" s="8"/>
      <c r="N59" s="8"/>
    </row>
    <row r="60" spans="4:14" ht="20.100000000000001" customHeight="1" x14ac:dyDescent="0.25">
      <c r="D60" s="8"/>
      <c r="E60" s="8"/>
      <c r="F60" s="8"/>
      <c r="G60" s="8"/>
      <c r="K60" s="8"/>
      <c r="L60" s="8"/>
      <c r="M60" s="8"/>
      <c r="N60" s="8"/>
    </row>
    <row r="61" spans="4:14" ht="20.100000000000001" customHeight="1" x14ac:dyDescent="0.25">
      <c r="D61" s="8"/>
      <c r="E61" s="8"/>
      <c r="F61" s="8"/>
      <c r="G61" s="8"/>
      <c r="K61" s="8"/>
      <c r="L61" s="8"/>
      <c r="M61" s="8"/>
      <c r="N61" s="8"/>
    </row>
    <row r="62" spans="4:14" ht="20.100000000000001" customHeight="1" x14ac:dyDescent="0.25">
      <c r="D62" s="8"/>
      <c r="E62" s="8"/>
      <c r="F62" s="8"/>
      <c r="G62" s="8"/>
      <c r="K62" s="8"/>
      <c r="L62" s="8"/>
      <c r="M62" s="8"/>
      <c r="N62" s="8"/>
    </row>
    <row r="63" spans="4:14" ht="20.100000000000001" customHeight="1" x14ac:dyDescent="0.25">
      <c r="D63" s="8"/>
      <c r="E63" s="8"/>
      <c r="F63" s="8"/>
      <c r="G63" s="8"/>
      <c r="K63" s="8"/>
      <c r="L63" s="8"/>
      <c r="M63" s="8"/>
      <c r="N63" s="8"/>
    </row>
    <row r="64" spans="4:14" ht="20.100000000000001" customHeight="1" x14ac:dyDescent="0.25">
      <c r="D64" s="8"/>
      <c r="E64" s="8"/>
      <c r="F64" s="8"/>
      <c r="G64" s="8"/>
      <c r="K64" s="8"/>
      <c r="L64" s="8"/>
      <c r="M64" s="8"/>
      <c r="N64" s="8"/>
    </row>
    <row r="65" spans="4:14" ht="20.100000000000001" customHeight="1" x14ac:dyDescent="0.25">
      <c r="D65" s="8"/>
      <c r="E65" s="8"/>
      <c r="F65" s="8"/>
      <c r="G65" s="8"/>
      <c r="K65" s="8"/>
      <c r="L65" s="8"/>
      <c r="M65" s="8"/>
      <c r="N65" s="8"/>
    </row>
    <row r="66" spans="4:14" ht="20.100000000000001" customHeight="1" x14ac:dyDescent="0.25">
      <c r="D66" s="8"/>
      <c r="E66" s="8"/>
      <c r="F66" s="8"/>
      <c r="G66" s="8"/>
      <c r="K66" s="8"/>
      <c r="L66" s="8"/>
      <c r="M66" s="8"/>
      <c r="N66" s="8"/>
    </row>
    <row r="67" spans="4:14" ht="20.100000000000001" customHeight="1" x14ac:dyDescent="0.25">
      <c r="D67" s="8"/>
      <c r="E67" s="8"/>
      <c r="F67" s="8"/>
      <c r="G67" s="8"/>
      <c r="K67" s="8"/>
      <c r="L67" s="8"/>
      <c r="M67" s="8"/>
      <c r="N67" s="8"/>
    </row>
    <row r="68" spans="4:14" ht="20.100000000000001" customHeight="1" x14ac:dyDescent="0.25">
      <c r="D68" s="8"/>
      <c r="E68" s="8"/>
      <c r="F68" s="8"/>
      <c r="G68" s="8"/>
      <c r="K68" s="8"/>
      <c r="L68" s="8"/>
      <c r="M68" s="8"/>
      <c r="N68" s="8"/>
    </row>
    <row r="69" spans="4:14" ht="20.100000000000001" customHeight="1" x14ac:dyDescent="0.25">
      <c r="D69" s="8"/>
      <c r="E69" s="8"/>
      <c r="F69" s="8"/>
      <c r="G69" s="8"/>
      <c r="K69" s="8"/>
      <c r="L69" s="8"/>
      <c r="M69" s="8"/>
      <c r="N69" s="8"/>
    </row>
    <row r="70" spans="4:14" ht="20.100000000000001" customHeight="1" x14ac:dyDescent="0.25">
      <c r="D70" s="8"/>
      <c r="E70" s="8"/>
      <c r="F70" s="8"/>
      <c r="G70" s="8"/>
      <c r="K70" s="8"/>
      <c r="L70" s="8"/>
      <c r="M70" s="8"/>
      <c r="N70" s="8"/>
    </row>
    <row r="71" spans="4:14" ht="20.100000000000001" customHeight="1" x14ac:dyDescent="0.25">
      <c r="D71" s="8"/>
      <c r="E71" s="8"/>
      <c r="F71" s="8"/>
      <c r="G71" s="8"/>
      <c r="K71" s="8"/>
      <c r="L71" s="8"/>
      <c r="M71" s="8"/>
      <c r="N71" s="8"/>
    </row>
    <row r="72" spans="4:14" ht="20.100000000000001" customHeight="1" x14ac:dyDescent="0.25">
      <c r="D72" s="8"/>
      <c r="E72" s="8"/>
      <c r="F72" s="8"/>
      <c r="G72" s="8"/>
      <c r="K72" s="8"/>
      <c r="L72" s="8"/>
      <c r="M72" s="8"/>
      <c r="N72" s="8"/>
    </row>
    <row r="73" spans="4:14" ht="20.100000000000001" customHeight="1" x14ac:dyDescent="0.25">
      <c r="D73" s="8"/>
      <c r="E73" s="8"/>
      <c r="F73" s="8"/>
      <c r="G73" s="8"/>
      <c r="K73" s="8"/>
      <c r="L73" s="8"/>
      <c r="M73" s="8"/>
      <c r="N73" s="8"/>
    </row>
    <row r="74" spans="4:14" ht="20.100000000000001" customHeight="1" x14ac:dyDescent="0.25">
      <c r="D74" s="8"/>
      <c r="E74" s="8"/>
      <c r="F74" s="8"/>
      <c r="G74" s="8"/>
      <c r="K74" s="8"/>
      <c r="L74" s="8"/>
      <c r="M74" s="8"/>
      <c r="N74" s="8"/>
    </row>
    <row r="75" spans="4:14" ht="20.100000000000001" customHeight="1" x14ac:dyDescent="0.25">
      <c r="D75" s="8"/>
      <c r="E75" s="8"/>
      <c r="F75" s="8"/>
      <c r="G75" s="8"/>
      <c r="K75" s="8"/>
      <c r="L75" s="8"/>
      <c r="M75" s="8"/>
      <c r="N75" s="8"/>
    </row>
    <row r="76" spans="4:14" ht="20.100000000000001" customHeight="1" x14ac:dyDescent="0.25">
      <c r="D76" s="8"/>
      <c r="E76" s="8"/>
      <c r="F76" s="8"/>
      <c r="G76" s="8"/>
      <c r="K76" s="8"/>
      <c r="L76" s="8"/>
      <c r="M76" s="8"/>
      <c r="N76" s="8"/>
    </row>
    <row r="77" spans="4:14" ht="20.100000000000001" customHeight="1" x14ac:dyDescent="0.25">
      <c r="D77" s="8"/>
      <c r="E77" s="8"/>
      <c r="F77" s="8"/>
      <c r="G77" s="8"/>
      <c r="K77" s="8"/>
      <c r="L77" s="8"/>
      <c r="M77" s="8"/>
      <c r="N77" s="8"/>
    </row>
    <row r="78" spans="4:14" ht="20.100000000000001" customHeight="1" x14ac:dyDescent="0.25">
      <c r="D78" s="8"/>
      <c r="E78" s="8"/>
      <c r="F78" s="8"/>
      <c r="G78" s="8"/>
      <c r="K78" s="8"/>
      <c r="L78" s="8"/>
      <c r="M78" s="8"/>
      <c r="N78" s="8"/>
    </row>
    <row r="79" spans="4:14" ht="20.100000000000001" customHeight="1" x14ac:dyDescent="0.25">
      <c r="D79" s="8"/>
      <c r="E79" s="8"/>
      <c r="F79" s="8"/>
      <c r="G79" s="8"/>
      <c r="K79" s="8"/>
      <c r="L79" s="8"/>
      <c r="M79" s="8"/>
      <c r="N79" s="8"/>
    </row>
    <row r="80" spans="4:14" ht="20.100000000000001" customHeight="1" x14ac:dyDescent="0.25">
      <c r="D80" s="8"/>
      <c r="E80" s="8"/>
      <c r="F80" s="8"/>
      <c r="G80" s="8"/>
      <c r="K80" s="8"/>
      <c r="L80" s="8"/>
      <c r="M80" s="8"/>
      <c r="N80" s="8"/>
    </row>
    <row r="81" spans="4:14" ht="20.100000000000001" customHeight="1" x14ac:dyDescent="0.25">
      <c r="D81" s="8"/>
      <c r="E81" s="8"/>
      <c r="F81" s="8"/>
      <c r="G81" s="8"/>
      <c r="K81" s="8"/>
      <c r="L81" s="8"/>
      <c r="M81" s="8"/>
      <c r="N81" s="8"/>
    </row>
    <row r="82" spans="4:14" ht="20.100000000000001" customHeight="1" x14ac:dyDescent="0.25">
      <c r="D82" s="8"/>
      <c r="E82" s="8"/>
      <c r="F82" s="8"/>
      <c r="G82" s="8"/>
      <c r="K82" s="8"/>
      <c r="L82" s="8"/>
      <c r="M82" s="8"/>
      <c r="N82" s="8"/>
    </row>
    <row r="83" spans="4:14" ht="20.100000000000001" customHeight="1" x14ac:dyDescent="0.25">
      <c r="D83" s="8"/>
      <c r="E83" s="8"/>
      <c r="F83" s="8"/>
      <c r="G83" s="8"/>
      <c r="K83" s="8"/>
      <c r="L83" s="8"/>
      <c r="M83" s="8"/>
      <c r="N83" s="8"/>
    </row>
    <row r="84" spans="4:14" ht="20.100000000000001" customHeight="1" x14ac:dyDescent="0.25">
      <c r="D84" s="8"/>
      <c r="E84" s="8"/>
      <c r="F84" s="8"/>
      <c r="G84" s="8"/>
      <c r="K84" s="8"/>
      <c r="L84" s="8"/>
      <c r="M84" s="8"/>
      <c r="N84" s="8"/>
    </row>
    <row r="85" spans="4:14" ht="20.100000000000001" customHeight="1" x14ac:dyDescent="0.25">
      <c r="D85" s="8"/>
      <c r="E85" s="8"/>
      <c r="F85" s="8"/>
      <c r="G85" s="8"/>
      <c r="K85" s="8"/>
      <c r="L85" s="8"/>
      <c r="M85" s="8"/>
      <c r="N85" s="8"/>
    </row>
    <row r="86" spans="4:14" ht="20.100000000000001" customHeight="1" x14ac:dyDescent="0.25">
      <c r="D86" s="8"/>
      <c r="E86" s="8"/>
      <c r="F86" s="8"/>
      <c r="G86" s="8"/>
      <c r="K86" s="8"/>
      <c r="L86" s="8"/>
      <c r="M86" s="8"/>
      <c r="N86" s="8"/>
    </row>
    <row r="87" spans="4:14" ht="20.100000000000001" customHeight="1" x14ac:dyDescent="0.25">
      <c r="D87" s="8"/>
      <c r="E87" s="8"/>
      <c r="F87" s="8"/>
      <c r="G87" s="8"/>
      <c r="K87" s="8"/>
      <c r="L87" s="8"/>
      <c r="M87" s="8"/>
      <c r="N87" s="8"/>
    </row>
    <row r="88" spans="4:14" ht="20.100000000000001" customHeight="1" x14ac:dyDescent="0.25">
      <c r="D88" s="8"/>
      <c r="E88" s="8"/>
      <c r="F88" s="8"/>
      <c r="G88" s="8"/>
      <c r="K88" s="8"/>
      <c r="L88" s="8"/>
      <c r="M88" s="8"/>
      <c r="N88" s="8"/>
    </row>
    <row r="89" spans="4:14" ht="20.100000000000001" customHeight="1" x14ac:dyDescent="0.25">
      <c r="D89" s="8"/>
      <c r="E89" s="8"/>
      <c r="F89" s="8"/>
      <c r="G89" s="8"/>
      <c r="K89" s="8"/>
      <c r="L89" s="8"/>
      <c r="M89" s="8"/>
      <c r="N89" s="8"/>
    </row>
    <row r="90" spans="4:14" ht="20.100000000000001" customHeight="1" x14ac:dyDescent="0.25">
      <c r="D90" s="8"/>
      <c r="E90" s="8"/>
      <c r="F90" s="8"/>
      <c r="G90" s="8"/>
      <c r="K90" s="8"/>
      <c r="L90" s="8"/>
      <c r="M90" s="8"/>
      <c r="N90" s="8"/>
    </row>
    <row r="91" spans="4:14" ht="20.100000000000001" customHeight="1" x14ac:dyDescent="0.25">
      <c r="D91" s="8"/>
      <c r="E91" s="8"/>
      <c r="F91" s="8"/>
      <c r="G91" s="8"/>
      <c r="K91" s="8"/>
      <c r="L91" s="8"/>
      <c r="M91" s="8"/>
      <c r="N91" s="8"/>
    </row>
    <row r="92" spans="4:14" ht="20.100000000000001" customHeight="1" x14ac:dyDescent="0.25">
      <c r="D92" s="8"/>
      <c r="E92" s="8"/>
      <c r="F92" s="8"/>
      <c r="G92" s="8"/>
      <c r="K92" s="8"/>
      <c r="L92" s="8"/>
      <c r="M92" s="8"/>
      <c r="N92" s="8"/>
    </row>
    <row r="93" spans="4:14" ht="20.100000000000001" customHeight="1" x14ac:dyDescent="0.25">
      <c r="D93" s="8"/>
      <c r="E93" s="8"/>
      <c r="F93" s="8"/>
      <c r="G93" s="8"/>
      <c r="K93" s="8"/>
      <c r="L93" s="8"/>
      <c r="M93" s="8"/>
      <c r="N93" s="8"/>
    </row>
    <row r="94" spans="4:14" ht="20.100000000000001" customHeight="1" x14ac:dyDescent="0.25">
      <c r="D94" s="8"/>
      <c r="E94" s="8"/>
      <c r="F94" s="8"/>
      <c r="G94" s="8"/>
      <c r="K94" s="8"/>
      <c r="L94" s="8"/>
      <c r="M94" s="8"/>
      <c r="N94" s="8"/>
    </row>
    <row r="95" spans="4:14" ht="20.100000000000001" customHeight="1" x14ac:dyDescent="0.25">
      <c r="D95" s="8"/>
      <c r="E95" s="8"/>
      <c r="F95" s="8"/>
      <c r="G95" s="8"/>
      <c r="K95" s="8"/>
      <c r="L95" s="8"/>
      <c r="M95" s="8"/>
      <c r="N95" s="8"/>
    </row>
    <row r="96" spans="4:14" ht="20.100000000000001" customHeight="1" x14ac:dyDescent="0.25">
      <c r="D96" s="8"/>
      <c r="E96" s="8"/>
      <c r="F96" s="8"/>
      <c r="G96" s="8"/>
      <c r="K96" s="8"/>
      <c r="L96" s="8"/>
      <c r="M96" s="8"/>
      <c r="N96" s="8"/>
    </row>
    <row r="97" spans="4:14" ht="20.100000000000001" customHeight="1" x14ac:dyDescent="0.25">
      <c r="D97" s="8"/>
      <c r="E97" s="8"/>
      <c r="F97" s="8"/>
      <c r="G97" s="8"/>
      <c r="K97" s="8"/>
      <c r="L97" s="8"/>
      <c r="M97" s="8"/>
      <c r="N97" s="8"/>
    </row>
    <row r="98" spans="4:14" ht="20.100000000000001" customHeight="1" x14ac:dyDescent="0.25">
      <c r="D98" s="8"/>
      <c r="E98" s="8"/>
      <c r="F98" s="8"/>
      <c r="G98" s="8"/>
      <c r="K98" s="8"/>
      <c r="L98" s="8"/>
      <c r="M98" s="8"/>
      <c r="N98" s="8"/>
    </row>
    <row r="99" spans="4:14" ht="20.100000000000001" customHeight="1" x14ac:dyDescent="0.25">
      <c r="D99" s="8"/>
      <c r="E99" s="8"/>
      <c r="F99" s="8"/>
      <c r="G99" s="8"/>
      <c r="K99" s="8"/>
      <c r="L99" s="8"/>
      <c r="M99" s="8"/>
      <c r="N99" s="8"/>
    </row>
    <row r="100" spans="4:14" ht="20.100000000000001" customHeight="1" x14ac:dyDescent="0.25">
      <c r="D100" s="8"/>
      <c r="E100" s="8"/>
      <c r="F100" s="8"/>
      <c r="G100" s="8"/>
      <c r="K100" s="8"/>
      <c r="L100" s="8"/>
      <c r="M100" s="8"/>
      <c r="N100" s="8"/>
    </row>
    <row r="101" spans="4:14" ht="20.100000000000001" customHeight="1" x14ac:dyDescent="0.25">
      <c r="D101" s="8"/>
      <c r="E101" s="8"/>
      <c r="F101" s="8"/>
      <c r="G101" s="8"/>
      <c r="K101" s="8"/>
      <c r="L101" s="8"/>
      <c r="M101" s="8"/>
      <c r="N101" s="8"/>
    </row>
    <row r="102" spans="4:14" ht="20.100000000000001" customHeight="1" x14ac:dyDescent="0.25">
      <c r="D102" s="8"/>
      <c r="E102" s="8"/>
      <c r="F102" s="8"/>
      <c r="G102" s="8"/>
      <c r="K102" s="8"/>
      <c r="L102" s="8"/>
      <c r="M102" s="8"/>
      <c r="N102" s="8"/>
    </row>
    <row r="103" spans="4:14" ht="20.100000000000001" customHeight="1" x14ac:dyDescent="0.25">
      <c r="D103" s="8"/>
      <c r="E103" s="8"/>
      <c r="F103" s="8"/>
      <c r="G103" s="8"/>
      <c r="K103" s="8"/>
      <c r="L103" s="8"/>
      <c r="M103" s="8"/>
      <c r="N103" s="8"/>
    </row>
    <row r="104" spans="4:14" ht="20.100000000000001" customHeight="1" x14ac:dyDescent="0.25">
      <c r="D104" s="8"/>
      <c r="E104" s="8"/>
      <c r="F104" s="8"/>
      <c r="G104" s="8"/>
      <c r="K104" s="8"/>
      <c r="L104" s="8"/>
      <c r="M104" s="8"/>
      <c r="N104" s="8"/>
    </row>
    <row r="105" spans="4:14" ht="20.100000000000001" customHeight="1" x14ac:dyDescent="0.25">
      <c r="D105" s="8"/>
      <c r="E105" s="8"/>
      <c r="F105" s="8"/>
      <c r="G105" s="8"/>
      <c r="K105" s="8"/>
      <c r="L105" s="8"/>
      <c r="M105" s="8"/>
      <c r="N105" s="8"/>
    </row>
    <row r="106" spans="4:14" ht="20.100000000000001" customHeight="1" x14ac:dyDescent="0.25">
      <c r="D106" s="8"/>
      <c r="E106" s="8"/>
      <c r="F106" s="8"/>
      <c r="G106" s="8"/>
      <c r="K106" s="8"/>
      <c r="L106" s="8"/>
      <c r="M106" s="8"/>
      <c r="N106" s="8"/>
    </row>
    <row r="107" spans="4:14" ht="20.100000000000001" customHeight="1" x14ac:dyDescent="0.25">
      <c r="D107" s="8"/>
      <c r="E107" s="8"/>
      <c r="F107" s="8"/>
      <c r="G107" s="8"/>
      <c r="K107" s="8"/>
      <c r="L107" s="8"/>
      <c r="M107" s="8"/>
      <c r="N107" s="8"/>
    </row>
    <row r="108" spans="4:14" ht="20.100000000000001" customHeight="1" x14ac:dyDescent="0.25">
      <c r="D108" s="8"/>
      <c r="E108" s="8"/>
      <c r="F108" s="8"/>
      <c r="G108" s="8"/>
      <c r="K108" s="8"/>
      <c r="L108" s="8"/>
      <c r="M108" s="8"/>
      <c r="N108" s="8"/>
    </row>
    <row r="109" spans="4:14" ht="20.100000000000001" customHeight="1" x14ac:dyDescent="0.25">
      <c r="D109" s="8"/>
      <c r="E109" s="8"/>
      <c r="F109" s="8"/>
      <c r="G109" s="8"/>
      <c r="K109" s="8"/>
      <c r="L109" s="8"/>
      <c r="M109" s="8"/>
      <c r="N109" s="8"/>
    </row>
    <row r="110" spans="4:14" ht="20.100000000000001" customHeight="1" x14ac:dyDescent="0.25">
      <c r="D110" s="8"/>
      <c r="E110" s="8"/>
      <c r="F110" s="8"/>
      <c r="G110" s="8"/>
      <c r="K110" s="8"/>
      <c r="L110" s="8"/>
      <c r="M110" s="8"/>
      <c r="N110" s="8"/>
    </row>
    <row r="111" spans="4:14" ht="20.100000000000001" customHeight="1" x14ac:dyDescent="0.25">
      <c r="D111" s="8"/>
      <c r="E111" s="8"/>
      <c r="F111" s="8"/>
      <c r="G111" s="8"/>
      <c r="K111" s="8"/>
      <c r="L111" s="8"/>
      <c r="M111" s="8"/>
      <c r="N111" s="8"/>
    </row>
    <row r="112" spans="4:14" ht="20.100000000000001" customHeight="1" x14ac:dyDescent="0.25">
      <c r="D112" s="8"/>
      <c r="E112" s="8"/>
      <c r="F112" s="8"/>
      <c r="G112" s="8"/>
      <c r="K112" s="8"/>
      <c r="L112" s="8"/>
      <c r="M112" s="8"/>
      <c r="N112" s="8"/>
    </row>
    <row r="113" spans="4:14" ht="20.100000000000001" customHeight="1" x14ac:dyDescent="0.25">
      <c r="D113" s="8"/>
      <c r="E113" s="8"/>
      <c r="F113" s="8"/>
      <c r="G113" s="8"/>
      <c r="K113" s="8"/>
      <c r="L113" s="8"/>
      <c r="M113" s="8"/>
      <c r="N113" s="8"/>
    </row>
    <row r="114" spans="4:14" ht="20.100000000000001" customHeight="1" x14ac:dyDescent="0.25">
      <c r="D114" s="8"/>
      <c r="E114" s="8"/>
      <c r="F114" s="8"/>
      <c r="G114" s="8"/>
      <c r="K114" s="8"/>
      <c r="L114" s="8"/>
      <c r="M114" s="8"/>
      <c r="N114" s="8"/>
    </row>
    <row r="115" spans="4:14" ht="20.100000000000001" customHeight="1" x14ac:dyDescent="0.25">
      <c r="D115" s="8"/>
      <c r="E115" s="8"/>
      <c r="F115" s="8"/>
      <c r="G115" s="8"/>
      <c r="K115" s="8"/>
      <c r="L115" s="8"/>
      <c r="M115" s="8"/>
      <c r="N115" s="8"/>
    </row>
    <row r="116" spans="4:14" ht="20.100000000000001" customHeight="1" x14ac:dyDescent="0.25">
      <c r="D116" s="8"/>
      <c r="E116" s="8"/>
      <c r="F116" s="8"/>
      <c r="G116" s="8"/>
      <c r="K116" s="8"/>
      <c r="L116" s="8"/>
      <c r="M116" s="8"/>
      <c r="N116" s="8"/>
    </row>
    <row r="117" spans="4:14" ht="20.100000000000001" customHeight="1" x14ac:dyDescent="0.25">
      <c r="D117" s="8"/>
      <c r="E117" s="8"/>
      <c r="F117" s="8"/>
      <c r="G117" s="8"/>
      <c r="K117" s="8"/>
      <c r="L117" s="8"/>
      <c r="M117" s="8"/>
      <c r="N117" s="8"/>
    </row>
    <row r="118" spans="4:14" ht="20.100000000000001" customHeight="1" x14ac:dyDescent="0.25">
      <c r="D118" s="8"/>
      <c r="E118" s="8"/>
      <c r="F118" s="8"/>
      <c r="G118" s="8"/>
      <c r="K118" s="8"/>
      <c r="L118" s="8"/>
      <c r="M118" s="8"/>
      <c r="N118" s="8"/>
    </row>
    <row r="119" spans="4:14" ht="20.100000000000001" customHeight="1" x14ac:dyDescent="0.25">
      <c r="D119" s="8"/>
      <c r="E119" s="8"/>
      <c r="F119" s="8"/>
      <c r="G119" s="8"/>
      <c r="K119" s="8"/>
      <c r="L119" s="8"/>
      <c r="M119" s="8"/>
      <c r="N119" s="8"/>
    </row>
    <row r="120" spans="4:14" ht="20.100000000000001" customHeight="1" x14ac:dyDescent="0.25">
      <c r="D120" s="8"/>
      <c r="E120" s="8"/>
      <c r="F120" s="8"/>
      <c r="G120" s="8"/>
      <c r="K120" s="8"/>
      <c r="L120" s="8"/>
      <c r="M120" s="8"/>
      <c r="N120" s="8"/>
    </row>
    <row r="121" spans="4:14" ht="20.100000000000001" customHeight="1" x14ac:dyDescent="0.25">
      <c r="D121" s="8"/>
      <c r="E121" s="8"/>
      <c r="F121" s="8"/>
      <c r="G121" s="8"/>
      <c r="K121" s="8"/>
      <c r="L121" s="8"/>
      <c r="M121" s="8"/>
      <c r="N121" s="8"/>
    </row>
    <row r="122" spans="4:14" ht="20.100000000000001" customHeight="1" x14ac:dyDescent="0.25">
      <c r="D122" s="8"/>
      <c r="E122" s="8"/>
      <c r="F122" s="8"/>
      <c r="G122" s="8"/>
      <c r="K122" s="8"/>
      <c r="L122" s="8"/>
      <c r="M122" s="8"/>
      <c r="N122" s="8"/>
    </row>
    <row r="123" spans="4:14" ht="20.100000000000001" customHeight="1" x14ac:dyDescent="0.25">
      <c r="D123" s="8"/>
      <c r="E123" s="8"/>
      <c r="F123" s="8"/>
      <c r="G123" s="8"/>
      <c r="K123" s="8"/>
      <c r="L123" s="8"/>
      <c r="M123" s="8"/>
      <c r="N123" s="8"/>
    </row>
    <row r="124" spans="4:14" ht="20.100000000000001" customHeight="1" x14ac:dyDescent="0.25">
      <c r="D124" s="8"/>
      <c r="E124" s="8"/>
      <c r="F124" s="8"/>
      <c r="G124" s="8"/>
      <c r="K124" s="8"/>
      <c r="L124" s="8"/>
      <c r="M124" s="8"/>
      <c r="N124" s="8"/>
    </row>
    <row r="125" spans="4:14" ht="20.100000000000001" customHeight="1" x14ac:dyDescent="0.25">
      <c r="D125" s="8"/>
      <c r="E125" s="8"/>
      <c r="F125" s="8"/>
      <c r="G125" s="8"/>
      <c r="K125" s="8"/>
      <c r="L125" s="8"/>
      <c r="M125" s="8"/>
      <c r="N125" s="8"/>
    </row>
    <row r="126" spans="4:14" ht="20.100000000000001" customHeight="1" x14ac:dyDescent="0.25">
      <c r="D126" s="8"/>
      <c r="E126" s="8"/>
      <c r="F126" s="8"/>
      <c r="G126" s="8"/>
      <c r="K126" s="8"/>
      <c r="L126" s="8"/>
      <c r="M126" s="8"/>
      <c r="N126" s="8"/>
    </row>
    <row r="127" spans="4:14" ht="20.100000000000001" customHeight="1" x14ac:dyDescent="0.25">
      <c r="D127" s="8"/>
      <c r="E127" s="8"/>
      <c r="F127" s="8"/>
      <c r="G127" s="8"/>
      <c r="K127" s="8"/>
      <c r="L127" s="8"/>
      <c r="M127" s="8"/>
      <c r="N127" s="8"/>
    </row>
    <row r="128" spans="4:14" ht="20.100000000000001" customHeight="1" x14ac:dyDescent="0.25">
      <c r="D128" s="8"/>
      <c r="E128" s="8"/>
      <c r="F128" s="8"/>
      <c r="G128" s="8"/>
      <c r="K128" s="8"/>
      <c r="L128" s="8"/>
      <c r="M128" s="8"/>
      <c r="N128" s="8"/>
    </row>
    <row r="129" spans="4:14" ht="20.100000000000001" customHeight="1" x14ac:dyDescent="0.25">
      <c r="D129" s="8"/>
      <c r="E129" s="8"/>
      <c r="F129" s="8"/>
      <c r="G129" s="8"/>
      <c r="K129" s="8"/>
      <c r="L129" s="8"/>
      <c r="M129" s="8"/>
      <c r="N129" s="8"/>
    </row>
    <row r="130" spans="4:14" ht="20.100000000000001" customHeight="1" x14ac:dyDescent="0.25">
      <c r="D130" s="8"/>
      <c r="E130" s="8"/>
      <c r="F130" s="8"/>
      <c r="G130" s="8"/>
      <c r="K130" s="8"/>
      <c r="L130" s="8"/>
      <c r="M130" s="8"/>
      <c r="N130" s="8"/>
    </row>
    <row r="131" spans="4:14" ht="20.100000000000001" customHeight="1" x14ac:dyDescent="0.25">
      <c r="D131" s="8"/>
      <c r="E131" s="8"/>
      <c r="F131" s="8"/>
      <c r="G131" s="8"/>
      <c r="K131" s="8"/>
      <c r="L131" s="8"/>
      <c r="M131" s="8"/>
      <c r="N131" s="8"/>
    </row>
    <row r="132" spans="4:14" ht="20.100000000000001" customHeight="1" x14ac:dyDescent="0.25">
      <c r="D132" s="8"/>
      <c r="E132" s="8"/>
      <c r="F132" s="8"/>
      <c r="G132" s="8"/>
      <c r="K132" s="8"/>
      <c r="L132" s="8"/>
      <c r="M132" s="8"/>
      <c r="N132" s="8"/>
    </row>
    <row r="133" spans="4:14" ht="20.100000000000001" customHeight="1" x14ac:dyDescent="0.25">
      <c r="D133" s="8"/>
      <c r="E133" s="8"/>
      <c r="F133" s="8"/>
      <c r="G133" s="8"/>
      <c r="K133" s="8"/>
      <c r="L133" s="8"/>
      <c r="M133" s="8"/>
      <c r="N133" s="8"/>
    </row>
    <row r="134" spans="4:14" ht="20.100000000000001" customHeight="1" x14ac:dyDescent="0.25">
      <c r="D134" s="8"/>
      <c r="E134" s="8"/>
      <c r="F134" s="8"/>
      <c r="G134" s="8"/>
      <c r="K134" s="8"/>
      <c r="L134" s="8"/>
      <c r="M134" s="8"/>
      <c r="N134" s="8"/>
    </row>
    <row r="135" spans="4:14" ht="20.100000000000001" customHeight="1" x14ac:dyDescent="0.25">
      <c r="D135" s="8"/>
      <c r="E135" s="8"/>
      <c r="F135" s="8"/>
      <c r="G135" s="8"/>
      <c r="K135" s="8"/>
      <c r="L135" s="8"/>
      <c r="M135" s="8"/>
      <c r="N135" s="8"/>
    </row>
    <row r="136" spans="4:14" ht="20.100000000000001" customHeight="1" x14ac:dyDescent="0.25">
      <c r="D136" s="8"/>
      <c r="E136" s="8"/>
      <c r="F136" s="8"/>
      <c r="G136" s="8"/>
      <c r="K136" s="8"/>
      <c r="L136" s="8"/>
      <c r="M136" s="8"/>
      <c r="N136" s="8"/>
    </row>
    <row r="137" spans="4:14" ht="20.100000000000001" customHeight="1" x14ac:dyDescent="0.25">
      <c r="D137" s="8"/>
      <c r="E137" s="8"/>
      <c r="F137" s="8"/>
      <c r="G137" s="8"/>
      <c r="K137" s="8"/>
      <c r="L137" s="8"/>
      <c r="M137" s="8"/>
      <c r="N137" s="8"/>
    </row>
    <row r="138" spans="4:14" ht="20.100000000000001" customHeight="1" x14ac:dyDescent="0.25">
      <c r="D138" s="8"/>
      <c r="E138" s="8"/>
      <c r="F138" s="8"/>
      <c r="G138" s="8"/>
      <c r="K138" s="8"/>
      <c r="L138" s="8"/>
      <c r="M138" s="8"/>
      <c r="N138" s="8"/>
    </row>
    <row r="139" spans="4:14" ht="20.100000000000001" customHeight="1" x14ac:dyDescent="0.25">
      <c r="D139" s="8"/>
      <c r="E139" s="8"/>
      <c r="F139" s="8"/>
      <c r="G139" s="8"/>
      <c r="K139" s="8"/>
      <c r="L139" s="8"/>
      <c r="M139" s="8"/>
      <c r="N139" s="8"/>
    </row>
    <row r="140" spans="4:14" ht="20.100000000000001" customHeight="1" x14ac:dyDescent="0.25">
      <c r="D140" s="8"/>
      <c r="E140" s="8"/>
      <c r="F140" s="8"/>
      <c r="G140" s="8"/>
      <c r="K140" s="8"/>
      <c r="L140" s="8"/>
      <c r="M140" s="8"/>
      <c r="N140" s="8"/>
    </row>
    <row r="141" spans="4:14" ht="20.100000000000001" customHeight="1" x14ac:dyDescent="0.25">
      <c r="D141" s="8"/>
      <c r="E141" s="8"/>
      <c r="F141" s="8"/>
      <c r="G141" s="8"/>
      <c r="K141" s="8"/>
      <c r="L141" s="8"/>
      <c r="M141" s="8"/>
      <c r="N141" s="8"/>
    </row>
    <row r="142" spans="4:14" ht="20.100000000000001" customHeight="1" x14ac:dyDescent="0.25">
      <c r="D142" s="8"/>
      <c r="E142" s="8"/>
      <c r="F142" s="8"/>
      <c r="G142" s="8"/>
      <c r="K142" s="8"/>
      <c r="L142" s="8"/>
      <c r="M142" s="8"/>
      <c r="N142" s="8"/>
    </row>
    <row r="143" spans="4:14" ht="20.100000000000001" customHeight="1" x14ac:dyDescent="0.25">
      <c r="D143" s="8"/>
      <c r="E143" s="8"/>
      <c r="F143" s="8"/>
      <c r="G143" s="8"/>
      <c r="K143" s="8"/>
      <c r="L143" s="8"/>
      <c r="M143" s="8"/>
      <c r="N143" s="8"/>
    </row>
    <row r="144" spans="4:14" ht="20.100000000000001" customHeight="1" x14ac:dyDescent="0.25">
      <c r="D144" s="8"/>
      <c r="E144" s="8"/>
      <c r="F144" s="8"/>
      <c r="G144" s="8"/>
      <c r="K144" s="8"/>
      <c r="L144" s="8"/>
      <c r="M144" s="8"/>
      <c r="N144" s="8"/>
    </row>
    <row r="145" spans="4:14" ht="20.100000000000001" customHeight="1" x14ac:dyDescent="0.25">
      <c r="D145" s="8"/>
      <c r="E145" s="8"/>
      <c r="F145" s="8"/>
      <c r="G145" s="8"/>
      <c r="K145" s="8"/>
      <c r="L145" s="8"/>
      <c r="M145" s="8"/>
      <c r="N145" s="8"/>
    </row>
    <row r="146" spans="4:14" ht="20.100000000000001" customHeight="1" x14ac:dyDescent="0.25">
      <c r="D146" s="8"/>
      <c r="E146" s="8"/>
      <c r="F146" s="8"/>
      <c r="G146" s="8"/>
      <c r="K146" s="8"/>
      <c r="L146" s="8"/>
      <c r="M146" s="8"/>
      <c r="N146" s="8"/>
    </row>
    <row r="147" spans="4:14" ht="20.100000000000001" customHeight="1" x14ac:dyDescent="0.25">
      <c r="D147" s="8"/>
      <c r="E147" s="8"/>
      <c r="F147" s="8"/>
      <c r="G147" s="8"/>
      <c r="K147" s="8"/>
      <c r="L147" s="8"/>
      <c r="M147" s="8"/>
      <c r="N147" s="8"/>
    </row>
    <row r="148" spans="4:14" ht="20.100000000000001" customHeight="1" x14ac:dyDescent="0.25">
      <c r="D148" s="8"/>
      <c r="E148" s="8"/>
      <c r="F148" s="8"/>
      <c r="G148" s="8"/>
      <c r="K148" s="8"/>
      <c r="L148" s="8"/>
      <c r="M148" s="8"/>
      <c r="N148" s="8"/>
    </row>
    <row r="149" spans="4:14" ht="20.100000000000001" customHeight="1" x14ac:dyDescent="0.25">
      <c r="D149" s="8"/>
      <c r="E149" s="8"/>
      <c r="F149" s="8"/>
      <c r="G149" s="8"/>
      <c r="K149" s="8"/>
      <c r="L149" s="8"/>
      <c r="M149" s="8"/>
      <c r="N149" s="8"/>
    </row>
    <row r="150" spans="4:14" ht="20.100000000000001" customHeight="1" x14ac:dyDescent="0.25">
      <c r="D150" s="8"/>
      <c r="E150" s="8"/>
      <c r="F150" s="8"/>
      <c r="G150" s="8"/>
      <c r="K150" s="8"/>
      <c r="L150" s="8"/>
      <c r="M150" s="8"/>
      <c r="N150" s="8"/>
    </row>
    <row r="151" spans="4:14" ht="20.100000000000001" customHeight="1" x14ac:dyDescent="0.25">
      <c r="D151" s="8"/>
      <c r="E151" s="8"/>
      <c r="F151" s="8"/>
      <c r="G151" s="8"/>
      <c r="K151" s="8"/>
      <c r="L151" s="8"/>
      <c r="M151" s="8"/>
      <c r="N151" s="8"/>
    </row>
    <row r="152" spans="4:14" ht="20.100000000000001" customHeight="1" x14ac:dyDescent="0.25">
      <c r="D152" s="8"/>
      <c r="E152" s="8"/>
      <c r="F152" s="8"/>
      <c r="G152" s="8"/>
      <c r="K152" s="8"/>
      <c r="L152" s="8"/>
      <c r="M152" s="8"/>
      <c r="N152" s="8"/>
    </row>
    <row r="153" spans="4:14" ht="20.100000000000001" customHeight="1" x14ac:dyDescent="0.25">
      <c r="D153" s="8"/>
      <c r="E153" s="8"/>
      <c r="F153" s="8"/>
      <c r="G153" s="8"/>
      <c r="K153" s="8"/>
      <c r="L153" s="8"/>
      <c r="M153" s="8"/>
      <c r="N153" s="8"/>
    </row>
    <row r="154" spans="4:14" ht="20.100000000000001" customHeight="1" x14ac:dyDescent="0.25">
      <c r="D154" s="8"/>
      <c r="E154" s="8"/>
      <c r="F154" s="8"/>
      <c r="G154" s="8"/>
      <c r="K154" s="8"/>
      <c r="L154" s="8"/>
      <c r="M154" s="8"/>
      <c r="N154" s="8"/>
    </row>
    <row r="155" spans="4:14" ht="20.100000000000001" customHeight="1" x14ac:dyDescent="0.25">
      <c r="D155" s="8"/>
      <c r="E155" s="8"/>
      <c r="F155" s="8"/>
      <c r="G155" s="8"/>
      <c r="K155" s="8"/>
      <c r="L155" s="8"/>
      <c r="M155" s="8"/>
      <c r="N155" s="8"/>
    </row>
    <row r="156" spans="4:14" ht="20.100000000000001" customHeight="1" x14ac:dyDescent="0.25">
      <c r="D156" s="8"/>
      <c r="E156" s="8"/>
      <c r="F156" s="8"/>
      <c r="G156" s="8"/>
      <c r="K156" s="8"/>
      <c r="L156" s="8"/>
      <c r="M156" s="8"/>
      <c r="N156" s="8"/>
    </row>
    <row r="157" spans="4:14" ht="20.100000000000001" customHeight="1" x14ac:dyDescent="0.25">
      <c r="D157" s="8"/>
      <c r="E157" s="8"/>
      <c r="F157" s="8"/>
      <c r="G157" s="8"/>
      <c r="K157" s="8"/>
      <c r="L157" s="8"/>
      <c r="M157" s="8"/>
      <c r="N157" s="8"/>
    </row>
    <row r="158" spans="4:14" ht="20.100000000000001" customHeight="1" x14ac:dyDescent="0.25">
      <c r="D158" s="8"/>
      <c r="E158" s="8"/>
      <c r="F158" s="8"/>
      <c r="G158" s="8"/>
      <c r="K158" s="8"/>
      <c r="L158" s="8"/>
      <c r="M158" s="8"/>
      <c r="N158" s="8"/>
    </row>
    <row r="159" spans="4:14" ht="20.100000000000001" customHeight="1" x14ac:dyDescent="0.25">
      <c r="D159" s="8"/>
      <c r="E159" s="8"/>
      <c r="F159" s="8"/>
      <c r="G159" s="8"/>
      <c r="K159" s="8"/>
      <c r="L159" s="8"/>
      <c r="M159" s="8"/>
      <c r="N159" s="8"/>
    </row>
    <row r="160" spans="4:14" ht="20.100000000000001" customHeight="1" x14ac:dyDescent="0.25">
      <c r="D160" s="8"/>
      <c r="E160" s="8"/>
      <c r="F160" s="8"/>
      <c r="G160" s="8"/>
      <c r="K160" s="8"/>
      <c r="L160" s="8"/>
      <c r="M160" s="8"/>
      <c r="N160" s="8"/>
    </row>
    <row r="161" spans="4:14" ht="20.100000000000001" customHeight="1" x14ac:dyDescent="0.25">
      <c r="D161" s="8"/>
      <c r="E161" s="8"/>
      <c r="F161" s="8"/>
      <c r="G161" s="8"/>
      <c r="K161" s="8"/>
      <c r="L161" s="8"/>
      <c r="M161" s="8"/>
      <c r="N161" s="8"/>
    </row>
    <row r="162" spans="4:14" ht="20.100000000000001" customHeight="1" x14ac:dyDescent="0.25">
      <c r="D162" s="8"/>
      <c r="E162" s="8"/>
      <c r="F162" s="8"/>
      <c r="G162" s="8"/>
      <c r="K162" s="8"/>
      <c r="L162" s="8"/>
      <c r="M162" s="8"/>
      <c r="N162" s="8"/>
    </row>
    <row r="163" spans="4:14" ht="20.100000000000001" customHeight="1" x14ac:dyDescent="0.25">
      <c r="D163" s="8"/>
      <c r="E163" s="8"/>
      <c r="F163" s="8"/>
      <c r="G163" s="8"/>
      <c r="K163" s="8"/>
      <c r="L163" s="8"/>
      <c r="M163" s="8"/>
      <c r="N163" s="8"/>
    </row>
    <row r="164" spans="4:14" ht="20.100000000000001" customHeight="1" x14ac:dyDescent="0.25">
      <c r="D164" s="8"/>
      <c r="E164" s="8"/>
      <c r="F164" s="8"/>
      <c r="G164" s="8"/>
      <c r="K164" s="8"/>
      <c r="L164" s="8"/>
      <c r="M164" s="8"/>
      <c r="N164" s="8"/>
    </row>
    <row r="165" spans="4:14" ht="20.100000000000001" customHeight="1" x14ac:dyDescent="0.25">
      <c r="D165" s="8"/>
      <c r="E165" s="8"/>
      <c r="F165" s="8"/>
      <c r="G165" s="8"/>
      <c r="K165" s="8"/>
      <c r="L165" s="8"/>
      <c r="M165" s="8"/>
      <c r="N165" s="8"/>
    </row>
    <row r="166" spans="4:14" ht="20.100000000000001" customHeight="1" x14ac:dyDescent="0.25">
      <c r="D166" s="8"/>
      <c r="E166" s="8"/>
      <c r="F166" s="8"/>
      <c r="G166" s="8"/>
      <c r="K166" s="8"/>
      <c r="L166" s="8"/>
      <c r="M166" s="8"/>
      <c r="N166" s="8"/>
    </row>
    <row r="167" spans="4:14" ht="20.100000000000001" customHeight="1" x14ac:dyDescent="0.25">
      <c r="D167" s="8"/>
      <c r="E167" s="8"/>
      <c r="F167" s="8"/>
      <c r="G167" s="8"/>
      <c r="K167" s="8"/>
      <c r="L167" s="8"/>
      <c r="M167" s="8"/>
      <c r="N167" s="8"/>
    </row>
    <row r="168" spans="4:14" ht="20.100000000000001" customHeight="1" x14ac:dyDescent="0.25">
      <c r="D168" s="8"/>
      <c r="E168" s="8"/>
      <c r="F168" s="8"/>
      <c r="G168" s="8"/>
      <c r="K168" s="8"/>
      <c r="L168" s="8"/>
      <c r="M168" s="8"/>
      <c r="N168" s="8"/>
    </row>
    <row r="169" spans="4:14" ht="20.100000000000001" customHeight="1" x14ac:dyDescent="0.25">
      <c r="D169" s="8"/>
      <c r="E169" s="8"/>
      <c r="F169" s="8"/>
      <c r="G169" s="8"/>
      <c r="K169" s="8"/>
      <c r="L169" s="8"/>
      <c r="M169" s="8"/>
      <c r="N169" s="8"/>
    </row>
    <row r="170" spans="4:14" ht="20.100000000000001" customHeight="1" x14ac:dyDescent="0.25">
      <c r="D170" s="8"/>
      <c r="E170" s="8"/>
      <c r="F170" s="8"/>
      <c r="G170" s="8"/>
      <c r="K170" s="8"/>
      <c r="L170" s="8"/>
      <c r="M170" s="8"/>
      <c r="N170" s="8"/>
    </row>
    <row r="171" spans="4:14" ht="20.100000000000001" customHeight="1" x14ac:dyDescent="0.25">
      <c r="D171" s="8"/>
      <c r="E171" s="8"/>
      <c r="F171" s="8"/>
      <c r="G171" s="8"/>
      <c r="K171" s="8"/>
      <c r="L171" s="8"/>
      <c r="M171" s="8"/>
      <c r="N171" s="8"/>
    </row>
    <row r="172" spans="4:14" ht="20.100000000000001" customHeight="1" x14ac:dyDescent="0.25">
      <c r="D172" s="8"/>
      <c r="E172" s="8"/>
      <c r="F172" s="8"/>
      <c r="G172" s="8"/>
      <c r="K172" s="8"/>
      <c r="L172" s="8"/>
      <c r="M172" s="8"/>
      <c r="N172" s="8"/>
    </row>
    <row r="173" spans="4:14" ht="20.100000000000001" customHeight="1" x14ac:dyDescent="0.25">
      <c r="D173" s="8"/>
      <c r="E173" s="8"/>
      <c r="F173" s="8"/>
      <c r="G173" s="8"/>
      <c r="K173" s="8"/>
      <c r="L173" s="8"/>
      <c r="M173" s="8"/>
      <c r="N173" s="8"/>
    </row>
    <row r="174" spans="4:14" ht="20.100000000000001" customHeight="1" x14ac:dyDescent="0.25">
      <c r="D174" s="8"/>
      <c r="E174" s="8"/>
      <c r="F174" s="8"/>
      <c r="G174" s="8"/>
      <c r="K174" s="8"/>
      <c r="L174" s="8"/>
      <c r="M174" s="8"/>
      <c r="N174" s="8"/>
    </row>
    <row r="175" spans="4:14" ht="20.100000000000001" customHeight="1" x14ac:dyDescent="0.25">
      <c r="D175" s="8"/>
      <c r="E175" s="8"/>
      <c r="F175" s="8"/>
      <c r="G175" s="8"/>
      <c r="K175" s="8"/>
      <c r="L175" s="8"/>
      <c r="M175" s="8"/>
      <c r="N175" s="8"/>
    </row>
    <row r="176" spans="4:14" ht="20.100000000000001" customHeight="1" x14ac:dyDescent="0.25">
      <c r="D176" s="8"/>
      <c r="E176" s="8"/>
      <c r="F176" s="8"/>
      <c r="G176" s="8"/>
      <c r="K176" s="8"/>
      <c r="L176" s="8"/>
      <c r="M176" s="8"/>
      <c r="N176" s="8"/>
    </row>
    <row r="177" spans="4:14" ht="20.100000000000001" customHeight="1" x14ac:dyDescent="0.25">
      <c r="D177" s="8"/>
      <c r="E177" s="8"/>
      <c r="F177" s="8"/>
      <c r="G177" s="8"/>
      <c r="K177" s="8"/>
      <c r="L177" s="8"/>
      <c r="M177" s="8"/>
      <c r="N177" s="8"/>
    </row>
    <row r="178" spans="4:14" ht="20.100000000000001" customHeight="1" x14ac:dyDescent="0.25">
      <c r="D178" s="8"/>
      <c r="E178" s="8"/>
      <c r="F178" s="8"/>
      <c r="G178" s="8"/>
      <c r="K178" s="8"/>
      <c r="L178" s="8"/>
      <c r="M178" s="8"/>
      <c r="N178" s="8"/>
    </row>
    <row r="179" spans="4:14" ht="20.100000000000001" customHeight="1" x14ac:dyDescent="0.25">
      <c r="D179" s="8"/>
      <c r="E179" s="8"/>
      <c r="F179" s="8"/>
      <c r="G179" s="8"/>
      <c r="K179" s="8"/>
      <c r="L179" s="8"/>
      <c r="M179" s="8"/>
      <c r="N179" s="8"/>
    </row>
    <row r="180" spans="4:14" ht="20.100000000000001" customHeight="1" x14ac:dyDescent="0.25">
      <c r="D180" s="8"/>
      <c r="E180" s="8"/>
      <c r="F180" s="8"/>
      <c r="G180" s="8"/>
      <c r="K180" s="8"/>
      <c r="L180" s="8"/>
      <c r="M180" s="8"/>
      <c r="N180" s="8"/>
    </row>
    <row r="181" spans="4:14" ht="20.100000000000001" customHeight="1" x14ac:dyDescent="0.25">
      <c r="D181" s="8"/>
      <c r="E181" s="8"/>
      <c r="F181" s="8"/>
      <c r="G181" s="8"/>
      <c r="K181" s="8"/>
      <c r="L181" s="8"/>
      <c r="M181" s="8"/>
      <c r="N181" s="8"/>
    </row>
    <row r="182" spans="4:14" ht="20.100000000000001" customHeight="1" x14ac:dyDescent="0.25">
      <c r="D182" s="8"/>
      <c r="E182" s="8"/>
      <c r="F182" s="8"/>
      <c r="G182" s="8"/>
      <c r="K182" s="8"/>
      <c r="L182" s="8"/>
      <c r="M182" s="8"/>
      <c r="N182" s="8"/>
    </row>
    <row r="183" spans="4:14" ht="20.100000000000001" customHeight="1" x14ac:dyDescent="0.25">
      <c r="D183" s="8"/>
      <c r="E183" s="8"/>
      <c r="F183" s="8"/>
      <c r="G183" s="8"/>
      <c r="K183" s="8"/>
      <c r="L183" s="8"/>
      <c r="M183" s="8"/>
      <c r="N183" s="8"/>
    </row>
    <row r="184" spans="4:14" ht="20.100000000000001" customHeight="1" x14ac:dyDescent="0.25">
      <c r="D184" s="8"/>
      <c r="E184" s="8"/>
      <c r="F184" s="8"/>
      <c r="G184" s="8"/>
      <c r="K184" s="8"/>
      <c r="L184" s="8"/>
      <c r="M184" s="8"/>
      <c r="N184" s="8"/>
    </row>
    <row r="185" spans="4:14" ht="20.100000000000001" customHeight="1" x14ac:dyDescent="0.25">
      <c r="D185" s="8"/>
      <c r="E185" s="8"/>
      <c r="F185" s="8"/>
      <c r="G185" s="8"/>
      <c r="K185" s="8"/>
      <c r="L185" s="8"/>
      <c r="M185" s="8"/>
      <c r="N185" s="8"/>
    </row>
    <row r="186" spans="4:14" ht="20.100000000000001" customHeight="1" x14ac:dyDescent="0.25">
      <c r="D186" s="8"/>
      <c r="E186" s="8"/>
      <c r="F186" s="8"/>
      <c r="G186" s="8"/>
      <c r="K186" s="8"/>
      <c r="L186" s="8"/>
      <c r="M186" s="8"/>
      <c r="N186" s="8"/>
    </row>
    <row r="187" spans="4:14" ht="20.100000000000001" customHeight="1" x14ac:dyDescent="0.25">
      <c r="D187" s="8"/>
      <c r="E187" s="8"/>
      <c r="F187" s="8"/>
      <c r="G187" s="8"/>
      <c r="K187" s="8"/>
      <c r="L187" s="8"/>
      <c r="M187" s="8"/>
      <c r="N187" s="8"/>
    </row>
    <row r="188" spans="4:14" ht="20.100000000000001" customHeight="1" x14ac:dyDescent="0.25">
      <c r="D188" s="8"/>
      <c r="E188" s="8"/>
      <c r="F188" s="8"/>
      <c r="G188" s="8"/>
      <c r="K188" s="8"/>
      <c r="L188" s="8"/>
      <c r="M188" s="8"/>
      <c r="N188" s="8"/>
    </row>
    <row r="189" spans="4:14" ht="20.100000000000001" customHeight="1" x14ac:dyDescent="0.25">
      <c r="D189" s="8"/>
      <c r="E189" s="8"/>
      <c r="F189" s="8"/>
      <c r="G189" s="8"/>
      <c r="K189" s="8"/>
      <c r="L189" s="8"/>
      <c r="M189" s="8"/>
      <c r="N189" s="8"/>
    </row>
    <row r="190" spans="4:14" ht="20.100000000000001" customHeight="1" x14ac:dyDescent="0.25">
      <c r="D190" s="8"/>
      <c r="E190" s="8"/>
      <c r="F190" s="8"/>
      <c r="G190" s="8"/>
      <c r="K190" s="8"/>
      <c r="L190" s="8"/>
      <c r="M190" s="8"/>
      <c r="N190" s="8"/>
    </row>
    <row r="191" spans="4:14" ht="20.100000000000001" customHeight="1" x14ac:dyDescent="0.25">
      <c r="D191" s="8"/>
      <c r="E191" s="8"/>
      <c r="F191" s="8"/>
      <c r="G191" s="8"/>
      <c r="K191" s="8"/>
      <c r="L191" s="8"/>
      <c r="M191" s="8"/>
      <c r="N191" s="8"/>
    </row>
    <row r="192" spans="4:14" ht="20.100000000000001" customHeight="1" x14ac:dyDescent="0.25">
      <c r="D192" s="8"/>
      <c r="E192" s="8"/>
      <c r="F192" s="8"/>
      <c r="G192" s="8"/>
      <c r="K192" s="8"/>
      <c r="L192" s="8"/>
      <c r="M192" s="8"/>
      <c r="N192" s="8"/>
    </row>
    <row r="193" spans="4:14" ht="20.100000000000001" customHeight="1" x14ac:dyDescent="0.25">
      <c r="D193" s="8"/>
      <c r="E193" s="8"/>
      <c r="F193" s="8"/>
      <c r="G193" s="8"/>
      <c r="K193" s="8"/>
      <c r="L193" s="8"/>
      <c r="M193" s="8"/>
      <c r="N193" s="8"/>
    </row>
    <row r="194" spans="4:14" ht="20.100000000000001" customHeight="1" x14ac:dyDescent="0.25">
      <c r="D194" s="8"/>
      <c r="E194" s="8"/>
      <c r="F194" s="8"/>
      <c r="G194" s="8"/>
      <c r="K194" s="8"/>
      <c r="L194" s="8"/>
      <c r="M194" s="8"/>
      <c r="N194" s="8"/>
    </row>
    <row r="195" spans="4:14" ht="20.100000000000001" customHeight="1" x14ac:dyDescent="0.25">
      <c r="D195" s="8"/>
      <c r="E195" s="8"/>
      <c r="F195" s="8"/>
      <c r="G195" s="8"/>
      <c r="K195" s="8"/>
      <c r="L195" s="8"/>
      <c r="M195" s="8"/>
      <c r="N195" s="8"/>
    </row>
    <row r="196" spans="4:14" ht="20.100000000000001" customHeight="1" x14ac:dyDescent="0.25">
      <c r="D196" s="8"/>
      <c r="E196" s="8"/>
      <c r="F196" s="8"/>
      <c r="G196" s="8"/>
      <c r="K196" s="8"/>
      <c r="L196" s="8"/>
      <c r="M196" s="8"/>
      <c r="N196" s="8"/>
    </row>
    <row r="197" spans="4:14" ht="20.100000000000001" customHeight="1" x14ac:dyDescent="0.25">
      <c r="D197" s="8"/>
      <c r="E197" s="8"/>
      <c r="F197" s="8"/>
      <c r="G197" s="8"/>
      <c r="K197" s="8"/>
      <c r="L197" s="8"/>
      <c r="M197" s="8"/>
      <c r="N197" s="8"/>
    </row>
    <row r="198" spans="4:14" ht="20.100000000000001" customHeight="1" x14ac:dyDescent="0.25">
      <c r="D198" s="8"/>
      <c r="E198" s="8"/>
      <c r="F198" s="8"/>
      <c r="G198" s="8"/>
      <c r="K198" s="8"/>
      <c r="L198" s="8"/>
      <c r="M198" s="8"/>
      <c r="N198" s="8"/>
    </row>
    <row r="199" spans="4:14" ht="20.100000000000001" customHeight="1" x14ac:dyDescent="0.25">
      <c r="D199" s="8"/>
      <c r="E199" s="8"/>
      <c r="F199" s="8"/>
      <c r="G199" s="8"/>
      <c r="K199" s="8"/>
      <c r="L199" s="8"/>
      <c r="M199" s="8"/>
      <c r="N199" s="8"/>
    </row>
    <row r="200" spans="4:14" ht="20.100000000000001" customHeight="1" x14ac:dyDescent="0.25">
      <c r="D200" s="8"/>
      <c r="E200" s="8"/>
      <c r="F200" s="8"/>
      <c r="G200" s="8"/>
      <c r="K200" s="8"/>
      <c r="L200" s="8"/>
      <c r="M200" s="8"/>
      <c r="N200" s="8"/>
    </row>
    <row r="201" spans="4:14" ht="20.100000000000001" customHeight="1" x14ac:dyDescent="0.25">
      <c r="D201" s="8"/>
      <c r="E201" s="8"/>
      <c r="F201" s="8"/>
      <c r="G201" s="8"/>
      <c r="K201" s="8"/>
      <c r="L201" s="8"/>
      <c r="M201" s="8"/>
      <c r="N201" s="8"/>
    </row>
    <row r="202" spans="4:14" ht="20.100000000000001" customHeight="1" x14ac:dyDescent="0.25">
      <c r="D202" s="8"/>
      <c r="E202" s="8"/>
      <c r="F202" s="8"/>
      <c r="G202" s="8"/>
      <c r="K202" s="8"/>
      <c r="L202" s="8"/>
      <c r="M202" s="8"/>
      <c r="N202" s="8"/>
    </row>
    <row r="203" spans="4:14" ht="20.100000000000001" customHeight="1" x14ac:dyDescent="0.25">
      <c r="D203" s="8"/>
      <c r="E203" s="8"/>
      <c r="F203" s="8"/>
      <c r="G203" s="8"/>
      <c r="K203" s="8"/>
      <c r="L203" s="8"/>
      <c r="M203" s="8"/>
      <c r="N203" s="8"/>
    </row>
    <row r="204" spans="4:14" ht="20.100000000000001" customHeight="1" x14ac:dyDescent="0.25">
      <c r="D204" s="8"/>
      <c r="E204" s="8"/>
      <c r="F204" s="8"/>
      <c r="G204" s="8"/>
      <c r="K204" s="8"/>
      <c r="L204" s="8"/>
      <c r="M204" s="8"/>
      <c r="N204" s="8"/>
    </row>
    <row r="205" spans="4:14" ht="20.100000000000001" customHeight="1" x14ac:dyDescent="0.25">
      <c r="D205" s="8"/>
      <c r="E205" s="8"/>
      <c r="F205" s="8"/>
      <c r="G205" s="8"/>
      <c r="K205" s="8"/>
      <c r="L205" s="8"/>
      <c r="M205" s="8"/>
      <c r="N205" s="8"/>
    </row>
    <row r="206" spans="4:14" ht="20.100000000000001" customHeight="1" x14ac:dyDescent="0.25">
      <c r="D206" s="8"/>
      <c r="E206" s="8"/>
      <c r="F206" s="8"/>
      <c r="G206" s="8"/>
      <c r="K206" s="8"/>
      <c r="L206" s="8"/>
      <c r="M206" s="8"/>
      <c r="N206" s="8"/>
    </row>
    <row r="207" spans="4:14" ht="20.100000000000001" customHeight="1" x14ac:dyDescent="0.25">
      <c r="D207" s="8"/>
      <c r="E207" s="8"/>
      <c r="F207" s="8"/>
      <c r="G207" s="8"/>
      <c r="K207" s="8"/>
      <c r="L207" s="8"/>
      <c r="M207" s="8"/>
      <c r="N207" s="8"/>
    </row>
    <row r="208" spans="4:14" ht="20.100000000000001" customHeight="1" x14ac:dyDescent="0.25">
      <c r="D208" s="8"/>
      <c r="E208" s="8"/>
      <c r="F208" s="8"/>
      <c r="G208" s="8"/>
      <c r="K208" s="8"/>
      <c r="L208" s="8"/>
      <c r="M208" s="8"/>
      <c r="N208" s="8"/>
    </row>
    <row r="209" spans="4:14" ht="20.100000000000001" customHeight="1" x14ac:dyDescent="0.25">
      <c r="D209" s="8"/>
      <c r="E209" s="8"/>
      <c r="F209" s="8"/>
      <c r="G209" s="8"/>
      <c r="K209" s="8"/>
      <c r="L209" s="8"/>
      <c r="M209" s="8"/>
      <c r="N209" s="8"/>
    </row>
    <row r="210" spans="4:14" ht="20.100000000000001" customHeight="1" x14ac:dyDescent="0.25">
      <c r="D210" s="8"/>
      <c r="E210" s="8"/>
      <c r="F210" s="8"/>
      <c r="G210" s="8"/>
      <c r="K210" s="8"/>
      <c r="L210" s="8"/>
      <c r="M210" s="8"/>
      <c r="N210" s="8"/>
    </row>
    <row r="211" spans="4:14" ht="20.100000000000001" customHeight="1" x14ac:dyDescent="0.25">
      <c r="D211" s="8"/>
      <c r="E211" s="8"/>
      <c r="F211" s="8"/>
      <c r="G211" s="8"/>
      <c r="K211" s="8"/>
      <c r="L211" s="8"/>
      <c r="M211" s="8"/>
      <c r="N211" s="8"/>
    </row>
    <row r="212" spans="4:14" ht="20.100000000000001" customHeight="1" x14ac:dyDescent="0.25">
      <c r="D212" s="8"/>
      <c r="E212" s="8"/>
      <c r="F212" s="8"/>
      <c r="G212" s="8"/>
      <c r="K212" s="8"/>
      <c r="L212" s="8"/>
      <c r="M212" s="8"/>
      <c r="N212" s="8"/>
    </row>
    <row r="213" spans="4:14" ht="20.100000000000001" customHeight="1" x14ac:dyDescent="0.25">
      <c r="D213" s="8"/>
      <c r="E213" s="8"/>
      <c r="F213" s="8"/>
      <c r="G213" s="8"/>
      <c r="K213" s="8"/>
      <c r="L213" s="8"/>
      <c r="M213" s="8"/>
      <c r="N213" s="8"/>
    </row>
    <row r="214" spans="4:14" ht="20.100000000000001" customHeight="1" x14ac:dyDescent="0.25">
      <c r="D214" s="8"/>
      <c r="E214" s="8"/>
      <c r="F214" s="8"/>
      <c r="G214" s="8"/>
      <c r="K214" s="8"/>
      <c r="L214" s="8"/>
      <c r="M214" s="8"/>
      <c r="N214" s="8"/>
    </row>
    <row r="215" spans="4:14" ht="20.100000000000001" customHeight="1" x14ac:dyDescent="0.25">
      <c r="D215" s="8"/>
      <c r="E215" s="8"/>
      <c r="F215" s="8"/>
      <c r="G215" s="8"/>
      <c r="K215" s="8"/>
      <c r="L215" s="8"/>
      <c r="M215" s="8"/>
      <c r="N215" s="8"/>
    </row>
    <row r="216" spans="4:14" ht="20.100000000000001" customHeight="1" x14ac:dyDescent="0.25">
      <c r="D216" s="8"/>
      <c r="E216" s="8"/>
      <c r="F216" s="8"/>
      <c r="G216" s="8"/>
      <c r="K216" s="8"/>
      <c r="L216" s="8"/>
      <c r="M216" s="8"/>
      <c r="N216" s="8"/>
    </row>
    <row r="217" spans="4:14" ht="20.100000000000001" customHeight="1" x14ac:dyDescent="0.25">
      <c r="D217" s="8"/>
      <c r="E217" s="8"/>
      <c r="F217" s="8"/>
      <c r="G217" s="8"/>
      <c r="K217" s="8"/>
      <c r="L217" s="8"/>
      <c r="M217" s="8"/>
      <c r="N217" s="8"/>
    </row>
    <row r="218" spans="4:14" ht="20.100000000000001" customHeight="1" x14ac:dyDescent="0.25">
      <c r="D218" s="8"/>
      <c r="E218" s="8"/>
      <c r="F218" s="8"/>
      <c r="G218" s="8"/>
      <c r="K218" s="8"/>
      <c r="L218" s="8"/>
      <c r="M218" s="8"/>
      <c r="N218" s="8"/>
    </row>
    <row r="219" spans="4:14" ht="20.100000000000001" customHeight="1" x14ac:dyDescent="0.25">
      <c r="D219" s="8"/>
      <c r="E219" s="8"/>
      <c r="F219" s="8"/>
      <c r="G219" s="8"/>
      <c r="K219" s="8"/>
      <c r="L219" s="8"/>
      <c r="M219" s="8"/>
      <c r="N219" s="8"/>
    </row>
    <row r="220" spans="4:14" ht="20.100000000000001" customHeight="1" x14ac:dyDescent="0.25">
      <c r="D220" s="8"/>
      <c r="E220" s="8"/>
      <c r="F220" s="8"/>
      <c r="G220" s="8"/>
      <c r="K220" s="8"/>
      <c r="L220" s="8"/>
      <c r="M220" s="8"/>
      <c r="N220" s="8"/>
    </row>
    <row r="221" spans="4:14" ht="20.100000000000001" customHeight="1" x14ac:dyDescent="0.25">
      <c r="D221" s="8"/>
      <c r="E221" s="8"/>
      <c r="F221" s="8"/>
      <c r="G221" s="8"/>
      <c r="K221" s="8"/>
      <c r="L221" s="8"/>
      <c r="M221" s="8"/>
      <c r="N221" s="8"/>
    </row>
    <row r="222" spans="4:14" ht="20.100000000000001" customHeight="1" x14ac:dyDescent="0.25">
      <c r="D222" s="8"/>
      <c r="E222" s="8"/>
      <c r="F222" s="8"/>
      <c r="G222" s="8"/>
      <c r="K222" s="8"/>
      <c r="L222" s="8"/>
      <c r="M222" s="8"/>
      <c r="N222" s="8"/>
    </row>
    <row r="223" spans="4:14" ht="20.100000000000001" customHeight="1" x14ac:dyDescent="0.25">
      <c r="D223" s="8"/>
      <c r="E223" s="8"/>
      <c r="F223" s="8"/>
      <c r="G223" s="8"/>
      <c r="K223" s="8"/>
      <c r="L223" s="8"/>
      <c r="M223" s="8"/>
      <c r="N223" s="8"/>
    </row>
    <row r="224" spans="4:14" ht="20.100000000000001" customHeight="1" x14ac:dyDescent="0.25">
      <c r="D224" s="8"/>
      <c r="E224" s="8"/>
      <c r="F224" s="8"/>
      <c r="G224" s="8"/>
      <c r="K224" s="8"/>
      <c r="L224" s="8"/>
      <c r="M224" s="8"/>
      <c r="N224" s="8"/>
    </row>
    <row r="225" spans="4:14" ht="20.100000000000001" customHeight="1" x14ac:dyDescent="0.25">
      <c r="D225" s="8"/>
      <c r="E225" s="8"/>
      <c r="F225" s="8"/>
      <c r="G225" s="8"/>
      <c r="K225" s="8"/>
      <c r="L225" s="8"/>
      <c r="M225" s="8"/>
      <c r="N225" s="8"/>
    </row>
    <row r="226" spans="4:14" ht="20.100000000000001" customHeight="1" x14ac:dyDescent="0.25">
      <c r="D226" s="8"/>
      <c r="E226" s="8"/>
      <c r="F226" s="8"/>
      <c r="G226" s="8"/>
      <c r="K226" s="8"/>
      <c r="L226" s="8"/>
      <c r="M226" s="8"/>
      <c r="N226" s="8"/>
    </row>
    <row r="227" spans="4:14" ht="20.100000000000001" customHeight="1" x14ac:dyDescent="0.25">
      <c r="D227" s="8"/>
      <c r="E227" s="8"/>
      <c r="F227" s="8"/>
      <c r="G227" s="8"/>
      <c r="K227" s="8"/>
      <c r="L227" s="8"/>
      <c r="M227" s="8"/>
      <c r="N227" s="8"/>
    </row>
    <row r="228" spans="4:14" ht="20.100000000000001" customHeight="1" x14ac:dyDescent="0.25">
      <c r="D228" s="8"/>
      <c r="E228" s="8"/>
      <c r="F228" s="8"/>
      <c r="G228" s="8"/>
      <c r="K228" s="8"/>
      <c r="L228" s="8"/>
      <c r="M228" s="8"/>
      <c r="N228" s="8"/>
    </row>
    <row r="229" spans="4:14" ht="20.100000000000001" customHeight="1" x14ac:dyDescent="0.25">
      <c r="D229" s="8"/>
      <c r="E229" s="8"/>
      <c r="F229" s="8"/>
      <c r="G229" s="8"/>
      <c r="K229" s="8"/>
      <c r="L229" s="8"/>
      <c r="M229" s="8"/>
      <c r="N229" s="8"/>
    </row>
    <row r="230" spans="4:14" ht="20.100000000000001" customHeight="1" x14ac:dyDescent="0.25">
      <c r="D230" s="8"/>
      <c r="E230" s="8"/>
      <c r="F230" s="8"/>
      <c r="G230" s="8"/>
      <c r="K230" s="8"/>
      <c r="L230" s="8"/>
      <c r="M230" s="8"/>
      <c r="N230" s="8"/>
    </row>
    <row r="231" spans="4:14" ht="20.100000000000001" customHeight="1" x14ac:dyDescent="0.25">
      <c r="D231" s="8"/>
      <c r="E231" s="8"/>
      <c r="F231" s="8"/>
      <c r="G231" s="8"/>
      <c r="K231" s="8"/>
      <c r="L231" s="8"/>
      <c r="M231" s="8"/>
      <c r="N231" s="8"/>
    </row>
    <row r="232" spans="4:14" ht="20.100000000000001" customHeight="1" x14ac:dyDescent="0.25">
      <c r="D232" s="8"/>
      <c r="E232" s="8"/>
      <c r="F232" s="8"/>
      <c r="G232" s="8"/>
      <c r="K232" s="8"/>
      <c r="L232" s="8"/>
      <c r="M232" s="8"/>
      <c r="N232" s="8"/>
    </row>
    <row r="233" spans="4:14" ht="20.100000000000001" customHeight="1" x14ac:dyDescent="0.25">
      <c r="D233" s="8"/>
      <c r="E233" s="8"/>
      <c r="F233" s="8"/>
      <c r="G233" s="8"/>
      <c r="K233" s="8"/>
      <c r="L233" s="8"/>
      <c r="M233" s="8"/>
      <c r="N233" s="8"/>
    </row>
    <row r="234" spans="4:14" ht="20.100000000000001" customHeight="1" x14ac:dyDescent="0.25">
      <c r="D234" s="8"/>
      <c r="E234" s="8"/>
      <c r="F234" s="8"/>
      <c r="G234" s="8"/>
      <c r="K234" s="8"/>
      <c r="L234" s="8"/>
      <c r="M234" s="8"/>
      <c r="N234" s="8"/>
    </row>
    <row r="235" spans="4:14" ht="20.100000000000001" customHeight="1" x14ac:dyDescent="0.25">
      <c r="D235" s="8"/>
      <c r="E235" s="8"/>
      <c r="F235" s="8"/>
      <c r="G235" s="8"/>
      <c r="K235" s="8"/>
      <c r="L235" s="8"/>
      <c r="M235" s="8"/>
      <c r="N235" s="8"/>
    </row>
    <row r="236" spans="4:14" ht="20.100000000000001" customHeight="1" x14ac:dyDescent="0.25">
      <c r="D236" s="8"/>
      <c r="E236" s="8"/>
      <c r="F236" s="8"/>
      <c r="G236" s="8"/>
      <c r="K236" s="8"/>
      <c r="L236" s="8"/>
      <c r="M236" s="8"/>
      <c r="N236" s="8"/>
    </row>
    <row r="237" spans="4:14" ht="20.100000000000001" customHeight="1" x14ac:dyDescent="0.25">
      <c r="D237" s="8"/>
      <c r="E237" s="8"/>
      <c r="F237" s="8"/>
      <c r="G237" s="8"/>
      <c r="K237" s="8"/>
      <c r="L237" s="8"/>
      <c r="M237" s="8"/>
      <c r="N237" s="8"/>
    </row>
    <row r="238" spans="4:14" ht="20.100000000000001" customHeight="1" x14ac:dyDescent="0.25">
      <c r="D238" s="8"/>
      <c r="E238" s="8"/>
      <c r="F238" s="8"/>
      <c r="G238" s="8"/>
      <c r="K238" s="8"/>
      <c r="L238" s="8"/>
      <c r="M238" s="8"/>
      <c r="N238" s="8"/>
    </row>
    <row r="239" spans="4:14" ht="20.100000000000001" customHeight="1" x14ac:dyDescent="0.25">
      <c r="D239" s="8"/>
      <c r="E239" s="8"/>
      <c r="F239" s="8"/>
      <c r="G239" s="8"/>
      <c r="K239" s="8"/>
      <c r="L239" s="8"/>
      <c r="M239" s="8"/>
      <c r="N239" s="8"/>
    </row>
    <row r="240" spans="4:14" ht="20.100000000000001" customHeight="1" x14ac:dyDescent="0.25">
      <c r="D240" s="8"/>
      <c r="E240" s="8"/>
      <c r="F240" s="8"/>
      <c r="G240" s="8"/>
      <c r="K240" s="8"/>
      <c r="L240" s="8"/>
      <c r="M240" s="8"/>
      <c r="N240" s="8"/>
    </row>
    <row r="241" spans="4:14" ht="20.100000000000001" customHeight="1" x14ac:dyDescent="0.25">
      <c r="D241" s="8"/>
      <c r="E241" s="8"/>
      <c r="F241" s="8"/>
      <c r="G241" s="8"/>
      <c r="K241" s="8"/>
      <c r="L241" s="8"/>
      <c r="M241" s="8"/>
      <c r="N241" s="8"/>
    </row>
    <row r="242" spans="4:14" ht="20.100000000000001" customHeight="1" x14ac:dyDescent="0.25">
      <c r="D242" s="8"/>
      <c r="E242" s="8"/>
      <c r="F242" s="8"/>
      <c r="G242" s="8"/>
      <c r="K242" s="8"/>
      <c r="L242" s="8"/>
      <c r="M242" s="8"/>
      <c r="N242" s="8"/>
    </row>
    <row r="243" spans="4:14" ht="20.100000000000001" customHeight="1" x14ac:dyDescent="0.25">
      <c r="D243" s="8"/>
      <c r="E243" s="8"/>
      <c r="F243" s="8"/>
      <c r="G243" s="8"/>
      <c r="K243" s="8"/>
      <c r="L243" s="8"/>
      <c r="M243" s="8"/>
      <c r="N243" s="8"/>
    </row>
    <row r="244" spans="4:14" ht="20.100000000000001" customHeight="1" x14ac:dyDescent="0.25">
      <c r="D244" s="8"/>
      <c r="E244" s="8"/>
      <c r="F244" s="8"/>
      <c r="G244" s="8"/>
      <c r="K244" s="8"/>
      <c r="L244" s="8"/>
      <c r="M244" s="8"/>
      <c r="N244" s="8"/>
    </row>
    <row r="245" spans="4:14" ht="20.100000000000001" customHeight="1" x14ac:dyDescent="0.25">
      <c r="D245" s="8"/>
      <c r="E245" s="8"/>
      <c r="F245" s="8"/>
      <c r="G245" s="8"/>
      <c r="K245" s="8"/>
      <c r="L245" s="8"/>
      <c r="M245" s="8"/>
      <c r="N245" s="8"/>
    </row>
    <row r="246" spans="4:14" ht="20.100000000000001" customHeight="1" x14ac:dyDescent="0.25">
      <c r="D246" s="8"/>
      <c r="E246" s="8"/>
      <c r="F246" s="8"/>
      <c r="G246" s="8"/>
      <c r="K246" s="8"/>
      <c r="L246" s="8"/>
      <c r="M246" s="8"/>
      <c r="N246" s="8"/>
    </row>
    <row r="247" spans="4:14" ht="20.100000000000001" customHeight="1" x14ac:dyDescent="0.25">
      <c r="D247" s="8"/>
      <c r="E247" s="8"/>
      <c r="F247" s="8"/>
      <c r="G247" s="8"/>
      <c r="K247" s="8"/>
      <c r="L247" s="8"/>
      <c r="M247" s="8"/>
      <c r="N247" s="8"/>
    </row>
    <row r="248" spans="4:14" ht="20.100000000000001" customHeight="1" x14ac:dyDescent="0.25">
      <c r="D248" s="8"/>
      <c r="E248" s="8"/>
      <c r="F248" s="8"/>
      <c r="G248" s="8"/>
      <c r="K248" s="8"/>
      <c r="L248" s="8"/>
      <c r="M248" s="8"/>
      <c r="N248" s="8"/>
    </row>
    <row r="249" spans="4:14" ht="20.100000000000001" customHeight="1" x14ac:dyDescent="0.25">
      <c r="D249" s="8"/>
      <c r="E249" s="8"/>
      <c r="F249" s="8"/>
      <c r="G249" s="8"/>
      <c r="K249" s="8"/>
      <c r="L249" s="8"/>
      <c r="M249" s="8"/>
      <c r="N249" s="8"/>
    </row>
    <row r="250" spans="4:14" ht="20.100000000000001" customHeight="1" x14ac:dyDescent="0.25">
      <c r="D250" s="8"/>
      <c r="E250" s="8"/>
      <c r="F250" s="8"/>
      <c r="G250" s="8"/>
      <c r="K250" s="8"/>
      <c r="L250" s="8"/>
      <c r="M250" s="8"/>
      <c r="N250" s="8"/>
    </row>
    <row r="251" spans="4:14" ht="20.100000000000001" customHeight="1" x14ac:dyDescent="0.25">
      <c r="D251" s="8"/>
      <c r="E251" s="8"/>
      <c r="F251" s="8"/>
      <c r="G251" s="8"/>
      <c r="K251" s="8"/>
      <c r="L251" s="8"/>
      <c r="M251" s="8"/>
      <c r="N251" s="8"/>
    </row>
    <row r="252" spans="4:14" ht="20.100000000000001" customHeight="1" x14ac:dyDescent="0.25">
      <c r="D252" s="8"/>
      <c r="E252" s="8"/>
      <c r="F252" s="8"/>
      <c r="G252" s="8"/>
      <c r="K252" s="8"/>
      <c r="L252" s="8"/>
      <c r="M252" s="8"/>
      <c r="N252" s="8"/>
    </row>
    <row r="253" spans="4:14" ht="20.100000000000001" customHeight="1" x14ac:dyDescent="0.25">
      <c r="D253" s="8"/>
      <c r="E253" s="8"/>
      <c r="F253" s="8"/>
      <c r="G253" s="8"/>
      <c r="K253" s="8"/>
      <c r="L253" s="8"/>
      <c r="M253" s="8"/>
      <c r="N253" s="8"/>
    </row>
    <row r="254" spans="4:14" ht="20.100000000000001" customHeight="1" x14ac:dyDescent="0.25">
      <c r="D254" s="8"/>
      <c r="E254" s="8"/>
      <c r="F254" s="8"/>
      <c r="G254" s="8"/>
      <c r="K254" s="8"/>
      <c r="L254" s="8"/>
      <c r="M254" s="8"/>
      <c r="N254" s="8"/>
    </row>
    <row r="255" spans="4:14" ht="20.100000000000001" customHeight="1" x14ac:dyDescent="0.25">
      <c r="D255" s="8"/>
      <c r="E255" s="8"/>
      <c r="F255" s="8"/>
      <c r="G255" s="8"/>
      <c r="K255" s="8"/>
      <c r="L255" s="8"/>
      <c r="M255" s="8"/>
      <c r="N255" s="8"/>
    </row>
    <row r="256" spans="4:14" ht="20.100000000000001" customHeight="1" x14ac:dyDescent="0.25">
      <c r="D256" s="8"/>
      <c r="E256" s="8"/>
      <c r="F256" s="8"/>
      <c r="G256" s="8"/>
      <c r="K256" s="8"/>
      <c r="L256" s="8"/>
      <c r="M256" s="8"/>
      <c r="N256" s="8"/>
    </row>
    <row r="257" spans="4:14" ht="20.100000000000001" customHeight="1" x14ac:dyDescent="0.25">
      <c r="D257" s="8"/>
      <c r="E257" s="8"/>
      <c r="F257" s="8"/>
      <c r="G257" s="8"/>
      <c r="K257" s="8"/>
      <c r="L257" s="8"/>
      <c r="M257" s="8"/>
      <c r="N257" s="8"/>
    </row>
    <row r="258" spans="4:14" ht="20.100000000000001" customHeight="1" x14ac:dyDescent="0.25">
      <c r="D258" s="8"/>
      <c r="E258" s="8"/>
      <c r="F258" s="8"/>
      <c r="G258" s="8"/>
      <c r="K258" s="8"/>
      <c r="L258" s="8"/>
      <c r="M258" s="8"/>
      <c r="N258" s="8"/>
    </row>
    <row r="259" spans="4:14" ht="20.100000000000001" customHeight="1" x14ac:dyDescent="0.25">
      <c r="D259" s="8"/>
      <c r="E259" s="8"/>
      <c r="F259" s="8"/>
      <c r="G259" s="8"/>
      <c r="K259" s="8"/>
      <c r="L259" s="8"/>
      <c r="M259" s="8"/>
      <c r="N259" s="8"/>
    </row>
    <row r="260" spans="4:14" ht="20.100000000000001" customHeight="1" x14ac:dyDescent="0.25">
      <c r="D260" s="8"/>
      <c r="E260" s="8"/>
      <c r="F260" s="8"/>
      <c r="G260" s="8"/>
      <c r="K260" s="8"/>
      <c r="L260" s="8"/>
      <c r="M260" s="8"/>
      <c r="N260" s="8"/>
    </row>
    <row r="261" spans="4:14" ht="20.100000000000001" customHeight="1" x14ac:dyDescent="0.25">
      <c r="D261" s="8"/>
      <c r="E261" s="8"/>
      <c r="F261" s="8"/>
      <c r="G261" s="8"/>
      <c r="K261" s="8"/>
      <c r="L261" s="8"/>
      <c r="M261" s="8"/>
      <c r="N261" s="8"/>
    </row>
    <row r="262" spans="4:14" ht="20.100000000000001" customHeight="1" x14ac:dyDescent="0.25">
      <c r="D262" s="8"/>
      <c r="E262" s="8"/>
      <c r="F262" s="8"/>
      <c r="G262" s="8"/>
      <c r="K262" s="8"/>
      <c r="L262" s="8"/>
      <c r="M262" s="8"/>
      <c r="N262" s="8"/>
    </row>
    <row r="263" spans="4:14" ht="20.100000000000001" customHeight="1" x14ac:dyDescent="0.25">
      <c r="D263" s="8"/>
      <c r="E263" s="8"/>
      <c r="F263" s="8"/>
      <c r="G263" s="8"/>
      <c r="K263" s="8"/>
      <c r="L263" s="8"/>
      <c r="M263" s="8"/>
      <c r="N263" s="8"/>
    </row>
    <row r="264" spans="4:14" ht="20.100000000000001" customHeight="1" x14ac:dyDescent="0.25">
      <c r="D264" s="8"/>
      <c r="E264" s="8"/>
      <c r="F264" s="8"/>
      <c r="G264" s="8"/>
      <c r="K264" s="8"/>
      <c r="L264" s="8"/>
      <c r="M264" s="8"/>
      <c r="N264" s="8"/>
    </row>
    <row r="265" spans="4:14" ht="20.100000000000001" customHeight="1" x14ac:dyDescent="0.25">
      <c r="D265" s="8"/>
      <c r="E265" s="8"/>
      <c r="F265" s="8"/>
      <c r="G265" s="8"/>
      <c r="K265" s="8"/>
      <c r="L265" s="8"/>
      <c r="M265" s="8"/>
      <c r="N265" s="8"/>
    </row>
    <row r="266" spans="4:14" ht="20.100000000000001" customHeight="1" x14ac:dyDescent="0.25">
      <c r="D266" s="8"/>
      <c r="E266" s="8"/>
      <c r="F266" s="8"/>
      <c r="G266" s="8"/>
      <c r="K266" s="8"/>
      <c r="L266" s="8"/>
      <c r="M266" s="8"/>
      <c r="N266" s="8"/>
    </row>
    <row r="267" spans="4:14" ht="20.100000000000001" customHeight="1" x14ac:dyDescent="0.25">
      <c r="D267" s="8"/>
      <c r="E267" s="8"/>
      <c r="F267" s="8"/>
      <c r="G267" s="8"/>
      <c r="K267" s="8"/>
      <c r="L267" s="8"/>
      <c r="M267" s="8"/>
      <c r="N267" s="8"/>
    </row>
    <row r="268" spans="4:14" ht="20.100000000000001" customHeight="1" x14ac:dyDescent="0.25">
      <c r="D268" s="8"/>
      <c r="E268" s="8"/>
      <c r="F268" s="8"/>
      <c r="G268" s="8"/>
      <c r="K268" s="8"/>
      <c r="L268" s="8"/>
      <c r="M268" s="8"/>
      <c r="N268" s="8"/>
    </row>
    <row r="269" spans="4:14" ht="20.100000000000001" customHeight="1" x14ac:dyDescent="0.25">
      <c r="D269" s="8"/>
      <c r="E269" s="8"/>
      <c r="F269" s="8"/>
      <c r="G269" s="8"/>
      <c r="K269" s="8"/>
      <c r="L269" s="8"/>
      <c r="M269" s="8"/>
      <c r="N269" s="8"/>
    </row>
    <row r="270" spans="4:14" ht="20.100000000000001" customHeight="1" x14ac:dyDescent="0.25">
      <c r="D270" s="8"/>
      <c r="E270" s="8"/>
      <c r="F270" s="8"/>
      <c r="G270" s="8"/>
      <c r="K270" s="8"/>
      <c r="L270" s="8"/>
      <c r="M270" s="8"/>
      <c r="N270" s="8"/>
    </row>
    <row r="271" spans="4:14" ht="20.100000000000001" customHeight="1" x14ac:dyDescent="0.25">
      <c r="D271" s="8"/>
      <c r="E271" s="8"/>
      <c r="F271" s="8"/>
      <c r="G271" s="8"/>
      <c r="K271" s="8"/>
      <c r="L271" s="8"/>
      <c r="M271" s="8"/>
      <c r="N271" s="8"/>
    </row>
    <row r="272" spans="4:14" ht="20.100000000000001" customHeight="1" x14ac:dyDescent="0.25">
      <c r="D272" s="8"/>
      <c r="E272" s="8"/>
      <c r="F272" s="8"/>
      <c r="G272" s="8"/>
      <c r="K272" s="8"/>
      <c r="L272" s="8"/>
      <c r="M272" s="8"/>
      <c r="N272" s="8"/>
    </row>
    <row r="273" spans="4:14" ht="20.100000000000001" customHeight="1" x14ac:dyDescent="0.25">
      <c r="D273" s="8"/>
      <c r="E273" s="8"/>
      <c r="F273" s="8"/>
      <c r="G273" s="8"/>
      <c r="K273" s="8"/>
      <c r="L273" s="8"/>
      <c r="M273" s="8"/>
      <c r="N273" s="8"/>
    </row>
    <row r="274" spans="4:14" ht="20.100000000000001" customHeight="1" x14ac:dyDescent="0.25">
      <c r="D274" s="8"/>
      <c r="E274" s="8"/>
      <c r="F274" s="8"/>
      <c r="G274" s="8"/>
      <c r="K274" s="8"/>
      <c r="L274" s="8"/>
      <c r="M274" s="8"/>
      <c r="N274" s="8"/>
    </row>
    <row r="275" spans="4:14" ht="20.100000000000001" customHeight="1" x14ac:dyDescent="0.25">
      <c r="D275" s="8"/>
      <c r="E275" s="8"/>
      <c r="F275" s="8"/>
      <c r="G275" s="8"/>
      <c r="K275" s="8"/>
      <c r="L275" s="8"/>
      <c r="M275" s="8"/>
      <c r="N275" s="8"/>
    </row>
    <row r="276" spans="4:14" ht="20.100000000000001" customHeight="1" x14ac:dyDescent="0.25">
      <c r="D276" s="8"/>
      <c r="E276" s="8"/>
      <c r="F276" s="8"/>
      <c r="G276" s="8"/>
      <c r="K276" s="8"/>
      <c r="L276" s="8"/>
      <c r="M276" s="8"/>
      <c r="N276" s="8"/>
    </row>
    <row r="277" spans="4:14" ht="20.100000000000001" customHeight="1" x14ac:dyDescent="0.25">
      <c r="D277" s="8"/>
      <c r="E277" s="8"/>
      <c r="F277" s="8"/>
      <c r="G277" s="8"/>
      <c r="K277" s="8"/>
      <c r="L277" s="8"/>
      <c r="M277" s="8"/>
      <c r="N277" s="8"/>
    </row>
    <row r="278" spans="4:14" ht="20.100000000000001" customHeight="1" x14ac:dyDescent="0.25">
      <c r="D278" s="8"/>
      <c r="E278" s="8"/>
      <c r="F278" s="8"/>
      <c r="G278" s="8"/>
      <c r="K278" s="8"/>
      <c r="L278" s="8"/>
      <c r="M278" s="8"/>
      <c r="N278" s="8"/>
    </row>
    <row r="279" spans="4:14" ht="20.100000000000001" customHeight="1" x14ac:dyDescent="0.25">
      <c r="D279" s="8"/>
      <c r="E279" s="8"/>
      <c r="F279" s="8"/>
      <c r="G279" s="8"/>
      <c r="K279" s="8"/>
      <c r="L279" s="8"/>
      <c r="M279" s="8"/>
      <c r="N279" s="8"/>
    </row>
    <row r="280" spans="4:14" ht="20.100000000000001" customHeight="1" x14ac:dyDescent="0.25">
      <c r="D280" s="8"/>
      <c r="E280" s="8"/>
      <c r="F280" s="8"/>
      <c r="G280" s="8"/>
      <c r="K280" s="8"/>
      <c r="L280" s="8"/>
      <c r="M280" s="8"/>
      <c r="N280" s="8"/>
    </row>
    <row r="281" spans="4:14" ht="20.100000000000001" customHeight="1" x14ac:dyDescent="0.25">
      <c r="D281" s="8"/>
      <c r="E281" s="8"/>
      <c r="F281" s="8"/>
      <c r="G281" s="8"/>
      <c r="K281" s="8"/>
      <c r="L281" s="8"/>
      <c r="M281" s="8"/>
      <c r="N281" s="8"/>
    </row>
    <row r="282" spans="4:14" ht="20.100000000000001" customHeight="1" x14ac:dyDescent="0.25">
      <c r="D282" s="8"/>
      <c r="E282" s="8"/>
      <c r="F282" s="8"/>
      <c r="G282" s="8"/>
      <c r="K282" s="8"/>
      <c r="L282" s="8"/>
      <c r="M282" s="8"/>
      <c r="N282" s="8"/>
    </row>
    <row r="283" spans="4:14" ht="20.100000000000001" customHeight="1" x14ac:dyDescent="0.25">
      <c r="D283" s="8"/>
      <c r="E283" s="8"/>
      <c r="F283" s="8"/>
      <c r="G283" s="8"/>
      <c r="K283" s="8"/>
      <c r="L283" s="8"/>
      <c r="M283" s="8"/>
      <c r="N283" s="8"/>
    </row>
    <row r="284" spans="4:14" ht="20.100000000000001" customHeight="1" x14ac:dyDescent="0.25">
      <c r="D284" s="8"/>
      <c r="E284" s="8"/>
      <c r="F284" s="8"/>
      <c r="G284" s="8"/>
      <c r="K284" s="8"/>
      <c r="L284" s="8"/>
      <c r="M284" s="8"/>
      <c r="N284" s="8"/>
    </row>
    <row r="285" spans="4:14" ht="20.100000000000001" customHeight="1" x14ac:dyDescent="0.25">
      <c r="D285" s="8"/>
      <c r="E285" s="8"/>
      <c r="F285" s="8"/>
      <c r="G285" s="8"/>
      <c r="K285" s="8"/>
      <c r="L285" s="8"/>
      <c r="M285" s="8"/>
      <c r="N285" s="8"/>
    </row>
    <row r="286" spans="4:14" ht="20.100000000000001" customHeight="1" x14ac:dyDescent="0.25">
      <c r="D286" s="8"/>
      <c r="E286" s="8"/>
      <c r="F286" s="8"/>
      <c r="G286" s="8"/>
      <c r="K286" s="8"/>
      <c r="L286" s="8"/>
      <c r="M286" s="8"/>
      <c r="N286" s="8"/>
    </row>
    <row r="287" spans="4:14" ht="20.100000000000001" customHeight="1" x14ac:dyDescent="0.25">
      <c r="D287" s="8"/>
      <c r="E287" s="8"/>
      <c r="F287" s="8"/>
      <c r="G287" s="8"/>
      <c r="K287" s="8"/>
      <c r="L287" s="8"/>
      <c r="M287" s="8"/>
      <c r="N287" s="8"/>
    </row>
    <row r="288" spans="4:14" ht="20.100000000000001" customHeight="1" x14ac:dyDescent="0.25">
      <c r="D288" s="8"/>
      <c r="E288" s="8"/>
      <c r="F288" s="8"/>
      <c r="G288" s="8"/>
      <c r="K288" s="8"/>
      <c r="L288" s="8"/>
      <c r="M288" s="8"/>
      <c r="N288" s="8"/>
    </row>
    <row r="289" spans="4:14" ht="20.100000000000001" customHeight="1" x14ac:dyDescent="0.25">
      <c r="D289" s="8"/>
      <c r="E289" s="8"/>
      <c r="F289" s="8"/>
      <c r="G289" s="8"/>
      <c r="K289" s="8"/>
      <c r="L289" s="8"/>
      <c r="M289" s="8"/>
      <c r="N289" s="8"/>
    </row>
    <row r="290" spans="4:14" ht="20.100000000000001" customHeight="1" x14ac:dyDescent="0.25">
      <c r="D290" s="8"/>
      <c r="E290" s="8"/>
      <c r="F290" s="8"/>
      <c r="G290" s="8"/>
      <c r="K290" s="8"/>
      <c r="L290" s="8"/>
      <c r="M290" s="8"/>
      <c r="N290" s="8"/>
    </row>
    <row r="291" spans="4:14" ht="20.100000000000001" customHeight="1" x14ac:dyDescent="0.25">
      <c r="D291" s="8"/>
      <c r="E291" s="8"/>
      <c r="F291" s="8"/>
      <c r="G291" s="8"/>
      <c r="K291" s="8"/>
      <c r="L291" s="8"/>
      <c r="M291" s="8"/>
      <c r="N291" s="8"/>
    </row>
    <row r="292" spans="4:14" ht="20.100000000000001" customHeight="1" x14ac:dyDescent="0.25">
      <c r="D292" s="8"/>
      <c r="E292" s="8"/>
      <c r="F292" s="8"/>
      <c r="G292" s="8"/>
      <c r="K292" s="8"/>
      <c r="L292" s="8"/>
      <c r="M292" s="8"/>
      <c r="N292" s="8"/>
    </row>
    <row r="293" spans="4:14" ht="20.100000000000001" customHeight="1" x14ac:dyDescent="0.25">
      <c r="D293" s="8"/>
      <c r="E293" s="8"/>
      <c r="F293" s="8"/>
      <c r="G293" s="8"/>
      <c r="K293" s="8"/>
      <c r="L293" s="8"/>
      <c r="M293" s="8"/>
      <c r="N293" s="8"/>
    </row>
    <row r="294" spans="4:14" ht="20.100000000000001" customHeight="1" x14ac:dyDescent="0.25">
      <c r="D294" s="8"/>
      <c r="E294" s="8"/>
      <c r="F294" s="8"/>
      <c r="G294" s="8"/>
      <c r="K294" s="8"/>
      <c r="L294" s="8"/>
      <c r="M294" s="8"/>
      <c r="N294" s="8"/>
    </row>
    <row r="295" spans="4:14" ht="20.100000000000001" customHeight="1" x14ac:dyDescent="0.25">
      <c r="D295" s="8"/>
      <c r="E295" s="8"/>
      <c r="F295" s="8"/>
      <c r="G295" s="8"/>
      <c r="K295" s="8"/>
      <c r="L295" s="8"/>
      <c r="M295" s="8"/>
      <c r="N295" s="8"/>
    </row>
    <row r="296" spans="4:14" ht="20.100000000000001" customHeight="1" x14ac:dyDescent="0.25">
      <c r="D296" s="8"/>
      <c r="E296" s="8"/>
      <c r="F296" s="8"/>
      <c r="G296" s="8"/>
      <c r="K296" s="8"/>
      <c r="L296" s="8"/>
      <c r="M296" s="8"/>
      <c r="N296" s="8"/>
    </row>
    <row r="297" spans="4:14" ht="20.100000000000001" customHeight="1" x14ac:dyDescent="0.25">
      <c r="D297" s="8"/>
      <c r="E297" s="8"/>
      <c r="F297" s="8"/>
      <c r="G297" s="8"/>
      <c r="K297" s="8"/>
      <c r="L297" s="8"/>
      <c r="M297" s="8"/>
      <c r="N297" s="8"/>
    </row>
    <row r="298" spans="4:14" ht="20.100000000000001" customHeight="1" x14ac:dyDescent="0.25">
      <c r="D298" s="8"/>
      <c r="E298" s="8"/>
      <c r="F298" s="8"/>
      <c r="G298" s="8"/>
      <c r="K298" s="8"/>
      <c r="L298" s="8"/>
      <c r="M298" s="8"/>
      <c r="N298" s="8"/>
    </row>
    <row r="299" spans="4:14" ht="20.100000000000001" customHeight="1" x14ac:dyDescent="0.25">
      <c r="D299" s="8"/>
      <c r="E299" s="8"/>
      <c r="F299" s="8"/>
      <c r="G299" s="8"/>
      <c r="K299" s="8"/>
      <c r="L299" s="8"/>
      <c r="M299" s="8"/>
      <c r="N299" s="8"/>
    </row>
    <row r="300" spans="4:14" ht="20.100000000000001" customHeight="1" x14ac:dyDescent="0.25">
      <c r="D300" s="8"/>
      <c r="E300" s="8"/>
      <c r="F300" s="8"/>
      <c r="G300" s="8"/>
      <c r="K300" s="8"/>
      <c r="L300" s="8"/>
      <c r="M300" s="8"/>
      <c r="N300" s="8"/>
    </row>
    <row r="301" spans="4:14" ht="20.100000000000001" customHeight="1" x14ac:dyDescent="0.25">
      <c r="D301" s="8"/>
      <c r="E301" s="8"/>
      <c r="F301" s="8"/>
      <c r="G301" s="8"/>
      <c r="K301" s="8"/>
      <c r="L301" s="8"/>
      <c r="M301" s="8"/>
      <c r="N301" s="8"/>
    </row>
    <row r="302" spans="4:14" ht="20.100000000000001" customHeight="1" x14ac:dyDescent="0.25">
      <c r="D302" s="8"/>
      <c r="E302" s="8"/>
      <c r="F302" s="8"/>
      <c r="G302" s="8"/>
      <c r="K302" s="8"/>
      <c r="L302" s="8"/>
      <c r="M302" s="8"/>
      <c r="N302" s="8"/>
    </row>
    <row r="303" spans="4:14" ht="20.100000000000001" customHeight="1" x14ac:dyDescent="0.25">
      <c r="D303" s="8"/>
      <c r="E303" s="8"/>
      <c r="F303" s="8"/>
      <c r="G303" s="8"/>
      <c r="K303" s="8"/>
      <c r="L303" s="8"/>
      <c r="M303" s="8"/>
      <c r="N303" s="8"/>
    </row>
    <row r="304" spans="4:14" ht="20.100000000000001" customHeight="1" x14ac:dyDescent="0.25">
      <c r="D304" s="8"/>
      <c r="E304" s="8"/>
      <c r="F304" s="8"/>
      <c r="G304" s="8"/>
      <c r="K304" s="8"/>
      <c r="L304" s="8"/>
      <c r="M304" s="8"/>
      <c r="N304" s="8"/>
    </row>
    <row r="305" spans="4:14" ht="20.100000000000001" customHeight="1" x14ac:dyDescent="0.25">
      <c r="D305" s="8"/>
      <c r="E305" s="8"/>
      <c r="F305" s="8"/>
      <c r="G305" s="8"/>
      <c r="K305" s="8"/>
      <c r="L305" s="8"/>
      <c r="M305" s="8"/>
      <c r="N305" s="8"/>
    </row>
    <row r="306" spans="4:14" ht="20.100000000000001" customHeight="1" x14ac:dyDescent="0.25">
      <c r="D306" s="8"/>
      <c r="E306" s="8"/>
      <c r="F306" s="8"/>
      <c r="G306" s="8"/>
      <c r="K306" s="8"/>
      <c r="L306" s="8"/>
      <c r="M306" s="8"/>
      <c r="N306" s="8"/>
    </row>
    <row r="307" spans="4:14" ht="20.100000000000001" customHeight="1" x14ac:dyDescent="0.25">
      <c r="D307" s="8"/>
      <c r="E307" s="8"/>
      <c r="F307" s="8"/>
      <c r="G307" s="8"/>
    </row>
    <row r="308" spans="4:14" ht="20.100000000000001" customHeight="1" x14ac:dyDescent="0.25">
      <c r="D308" s="8"/>
      <c r="E308" s="8"/>
      <c r="F308" s="8"/>
      <c r="G308" s="8"/>
    </row>
    <row r="309" spans="4:14" ht="20.100000000000001" customHeight="1" x14ac:dyDescent="0.25">
      <c r="D309" s="8"/>
      <c r="E309" s="8"/>
      <c r="F309" s="8"/>
      <c r="G309" s="8"/>
    </row>
    <row r="310" spans="4:14" ht="20.100000000000001" customHeight="1" x14ac:dyDescent="0.25">
      <c r="D310" s="8"/>
      <c r="E310" s="8"/>
      <c r="F310" s="8"/>
      <c r="G310" s="8"/>
    </row>
    <row r="311" spans="4:14" ht="20.100000000000001" customHeight="1" x14ac:dyDescent="0.25">
      <c r="D311" s="8"/>
      <c r="E311" s="8"/>
      <c r="F311" s="8"/>
      <c r="G311" s="8"/>
    </row>
    <row r="312" spans="4:14" ht="20.100000000000001" customHeight="1" x14ac:dyDescent="0.25">
      <c r="D312" s="8"/>
      <c r="E312" s="8"/>
      <c r="F312" s="8"/>
      <c r="G312" s="8"/>
    </row>
    <row r="313" spans="4:14" ht="20.100000000000001" customHeight="1" x14ac:dyDescent="0.25">
      <c r="D313" s="8"/>
      <c r="E313" s="8"/>
      <c r="F313" s="8"/>
      <c r="G313" s="8"/>
    </row>
    <row r="314" spans="4:14" ht="20.100000000000001" customHeight="1" x14ac:dyDescent="0.25">
      <c r="D314" s="8"/>
      <c r="E314" s="8"/>
      <c r="F314" s="8"/>
      <c r="G314" s="8"/>
    </row>
    <row r="315" spans="4:14" ht="20.100000000000001" customHeight="1" x14ac:dyDescent="0.25">
      <c r="D315" s="8"/>
      <c r="E315" s="8"/>
      <c r="F315" s="8"/>
      <c r="G315" s="8"/>
    </row>
    <row r="316" spans="4:14" ht="20.100000000000001" customHeight="1" x14ac:dyDescent="0.25">
      <c r="D316" s="8"/>
      <c r="E316" s="8"/>
      <c r="F316" s="8"/>
      <c r="G316" s="8"/>
    </row>
    <row r="317" spans="4:14" ht="20.100000000000001" customHeight="1" x14ac:dyDescent="0.25">
      <c r="D317" s="8"/>
      <c r="E317" s="8"/>
      <c r="F317" s="8"/>
      <c r="G317" s="8"/>
    </row>
    <row r="318" spans="4:14" ht="20.100000000000001" customHeight="1" x14ac:dyDescent="0.25">
      <c r="D318" s="8"/>
      <c r="E318" s="8"/>
      <c r="F318" s="8"/>
      <c r="G318" s="8"/>
    </row>
    <row r="319" spans="4:14" ht="20.100000000000001" customHeight="1" x14ac:dyDescent="0.25">
      <c r="D319" s="8"/>
      <c r="E319" s="8"/>
      <c r="F319" s="8"/>
      <c r="G319" s="8"/>
    </row>
    <row r="320" spans="4:14" ht="20.100000000000001" customHeight="1" x14ac:dyDescent="0.25">
      <c r="D320" s="8"/>
      <c r="E320" s="8"/>
      <c r="F320" s="8"/>
      <c r="G320" s="8"/>
    </row>
    <row r="321" spans="4:7" ht="20.100000000000001" customHeight="1" x14ac:dyDescent="0.25">
      <c r="D321" s="8"/>
      <c r="E321" s="8"/>
      <c r="F321" s="8"/>
      <c r="G321" s="8"/>
    </row>
    <row r="322" spans="4:7" ht="20.100000000000001" customHeight="1" x14ac:dyDescent="0.25">
      <c r="D322" s="8"/>
      <c r="E322" s="8"/>
      <c r="F322" s="8"/>
      <c r="G322" s="8"/>
    </row>
    <row r="323" spans="4:7" ht="20.100000000000001" customHeight="1" x14ac:dyDescent="0.25">
      <c r="D323" s="8"/>
      <c r="E323" s="8"/>
      <c r="F323" s="8"/>
      <c r="G323" s="8"/>
    </row>
    <row r="324" spans="4:7" ht="20.100000000000001" customHeight="1" x14ac:dyDescent="0.25">
      <c r="D324" s="8"/>
      <c r="E324" s="8"/>
      <c r="F324" s="8"/>
      <c r="G324" s="8"/>
    </row>
    <row r="325" spans="4:7" ht="20.100000000000001" customHeight="1" x14ac:dyDescent="0.25">
      <c r="D325" s="8"/>
      <c r="E325" s="8"/>
      <c r="F325" s="8"/>
      <c r="G325" s="8"/>
    </row>
    <row r="326" spans="4:7" ht="20.100000000000001" customHeight="1" x14ac:dyDescent="0.25">
      <c r="D326" s="8"/>
      <c r="E326" s="8"/>
      <c r="F326" s="8"/>
      <c r="G326" s="8"/>
    </row>
    <row r="327" spans="4:7" ht="20.100000000000001" customHeight="1" x14ac:dyDescent="0.25">
      <c r="D327" s="8"/>
      <c r="E327" s="8"/>
      <c r="F327" s="8"/>
      <c r="G327" s="8"/>
    </row>
    <row r="328" spans="4:7" ht="20.100000000000001" customHeight="1" x14ac:dyDescent="0.25">
      <c r="D328" s="8"/>
      <c r="E328" s="8"/>
      <c r="F328" s="8"/>
      <c r="G328" s="8"/>
    </row>
    <row r="329" spans="4:7" ht="20.100000000000001" customHeight="1" x14ac:dyDescent="0.25">
      <c r="D329" s="8"/>
      <c r="E329" s="8"/>
      <c r="F329" s="8"/>
      <c r="G329" s="8"/>
    </row>
    <row r="330" spans="4:7" ht="20.100000000000001" customHeight="1" x14ac:dyDescent="0.25">
      <c r="D330" s="8"/>
      <c r="E330" s="8"/>
      <c r="F330" s="8"/>
      <c r="G330" s="8"/>
    </row>
    <row r="331" spans="4:7" ht="20.100000000000001" customHeight="1" x14ac:dyDescent="0.25">
      <c r="D331" s="8"/>
      <c r="E331" s="8"/>
      <c r="F331" s="8"/>
      <c r="G331" s="8"/>
    </row>
    <row r="332" spans="4:7" ht="20.100000000000001" customHeight="1" x14ac:dyDescent="0.25">
      <c r="D332" s="8"/>
      <c r="E332" s="8"/>
      <c r="F332" s="8"/>
      <c r="G332" s="8"/>
    </row>
    <row r="333" spans="4:7" ht="20.100000000000001" customHeight="1" x14ac:dyDescent="0.25">
      <c r="D333" s="8"/>
      <c r="E333" s="8"/>
      <c r="F333" s="8"/>
      <c r="G333" s="8"/>
    </row>
    <row r="334" spans="4:7" ht="20.100000000000001" customHeight="1" x14ac:dyDescent="0.25">
      <c r="D334" s="8"/>
      <c r="E334" s="8"/>
      <c r="F334" s="8"/>
      <c r="G334" s="8"/>
    </row>
    <row r="335" spans="4:7" ht="20.100000000000001" customHeight="1" x14ac:dyDescent="0.25">
      <c r="D335" s="8"/>
      <c r="E335" s="8"/>
      <c r="F335" s="8"/>
      <c r="G335" s="8"/>
    </row>
    <row r="336" spans="4:7" ht="20.100000000000001" customHeight="1" x14ac:dyDescent="0.25">
      <c r="D336" s="8"/>
      <c r="E336" s="8"/>
      <c r="F336" s="8"/>
      <c r="G336" s="8"/>
    </row>
    <row r="337" spans="4:7" ht="20.100000000000001" customHeight="1" x14ac:dyDescent="0.25">
      <c r="D337" s="8"/>
      <c r="E337" s="8"/>
      <c r="F337" s="8"/>
      <c r="G337" s="8"/>
    </row>
    <row r="338" spans="4:7" ht="20.100000000000001" customHeight="1" x14ac:dyDescent="0.25">
      <c r="D338" s="8"/>
      <c r="E338" s="8"/>
      <c r="F338" s="8"/>
      <c r="G338" s="8"/>
    </row>
    <row r="339" spans="4:7" ht="20.100000000000001" customHeight="1" x14ac:dyDescent="0.25">
      <c r="D339" s="8"/>
      <c r="E339" s="8"/>
      <c r="F339" s="8"/>
      <c r="G339" s="8"/>
    </row>
    <row r="340" spans="4:7" ht="20.100000000000001" customHeight="1" x14ac:dyDescent="0.25">
      <c r="D340" s="8"/>
      <c r="E340" s="8"/>
      <c r="F340" s="8"/>
      <c r="G340" s="8"/>
    </row>
    <row r="341" spans="4:7" ht="20.100000000000001" customHeight="1" x14ac:dyDescent="0.25">
      <c r="D341" s="8"/>
      <c r="E341" s="8"/>
      <c r="F341" s="8"/>
      <c r="G341" s="8"/>
    </row>
    <row r="342" spans="4:7" ht="20.100000000000001" customHeight="1" x14ac:dyDescent="0.25">
      <c r="D342" s="8"/>
      <c r="E342" s="8"/>
      <c r="F342" s="8"/>
      <c r="G342" s="8"/>
    </row>
    <row r="343" spans="4:7" ht="20.100000000000001" customHeight="1" x14ac:dyDescent="0.25">
      <c r="D343" s="8"/>
      <c r="E343" s="8"/>
      <c r="F343" s="8"/>
      <c r="G343" s="8"/>
    </row>
    <row r="344" spans="4:7" ht="20.100000000000001" customHeight="1" x14ac:dyDescent="0.25">
      <c r="D344" s="8"/>
      <c r="E344" s="8"/>
      <c r="F344" s="8"/>
      <c r="G344" s="8"/>
    </row>
    <row r="345" spans="4:7" ht="20.100000000000001" customHeight="1" x14ac:dyDescent="0.25">
      <c r="D345" s="8"/>
      <c r="E345" s="8"/>
      <c r="F345" s="8"/>
      <c r="G345" s="8"/>
    </row>
    <row r="346" spans="4:7" ht="20.100000000000001" customHeight="1" x14ac:dyDescent="0.25">
      <c r="D346" s="8"/>
      <c r="E346" s="8"/>
      <c r="F346" s="8"/>
      <c r="G346" s="8"/>
    </row>
    <row r="347" spans="4:7" ht="20.100000000000001" customHeight="1" x14ac:dyDescent="0.25">
      <c r="D347" s="8"/>
      <c r="E347" s="8"/>
      <c r="F347" s="8"/>
      <c r="G347" s="8"/>
    </row>
    <row r="348" spans="4:7" ht="20.100000000000001" customHeight="1" x14ac:dyDescent="0.25">
      <c r="D348" s="8"/>
      <c r="E348" s="8"/>
      <c r="F348" s="8"/>
      <c r="G348" s="8"/>
    </row>
    <row r="349" spans="4:7" ht="20.100000000000001" customHeight="1" x14ac:dyDescent="0.25">
      <c r="D349" s="8"/>
      <c r="E349" s="8"/>
      <c r="F349" s="8"/>
      <c r="G349" s="8"/>
    </row>
    <row r="350" spans="4:7" ht="20.100000000000001" customHeight="1" x14ac:dyDescent="0.25">
      <c r="D350" s="8"/>
      <c r="E350" s="8"/>
      <c r="F350" s="8"/>
      <c r="G350" s="8"/>
    </row>
  </sheetData>
  <dataConsolidate/>
  <mergeCells count="4">
    <mergeCell ref="I2:N2"/>
    <mergeCell ref="B2:G2"/>
    <mergeCell ref="B6:G6"/>
    <mergeCell ref="I6:N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onfirmar">
                <anchor moveWithCells="1" sizeWithCells="1">
                  <from>
                    <xdr:col>6</xdr:col>
                    <xdr:colOff>28575</xdr:colOff>
                    <xdr:row>3</xdr:row>
                    <xdr:rowOff>38100</xdr:rowOff>
                  </from>
                  <to>
                    <xdr:col>6</xdr:col>
                    <xdr:colOff>762000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46874-F876-4C42-9811-6BF39CDE3853}">
  <sheetPr codeName="Hoja4"/>
  <dimension ref="B1:Q17"/>
  <sheetViews>
    <sheetView workbookViewId="0">
      <selection activeCell="C6" sqref="C6:Q6"/>
    </sheetView>
  </sheetViews>
  <sheetFormatPr baseColWidth="10" defaultRowHeight="15" x14ac:dyDescent="0.25"/>
  <cols>
    <col min="1" max="1" width="4.85546875" style="1" customWidth="1"/>
    <col min="2" max="2" width="15.5703125" style="1" customWidth="1"/>
    <col min="3" max="6" width="11.42578125" style="1"/>
    <col min="7" max="7" width="9" style="1" customWidth="1"/>
    <col min="8" max="8" width="15.5703125" style="1" customWidth="1"/>
    <col min="9" max="11" width="11.42578125" style="1"/>
    <col min="12" max="12" width="5.7109375" style="1" customWidth="1"/>
    <col min="13" max="16" width="11.42578125" style="1"/>
    <col min="17" max="17" width="8.85546875" style="1" customWidth="1"/>
    <col min="18" max="16384" width="11.42578125" style="1"/>
  </cols>
  <sheetData>
    <row r="1" spans="2:17" ht="12" customHeight="1" thickBot="1" x14ac:dyDescent="0.3"/>
    <row r="2" spans="2:17" ht="18.75" customHeight="1" x14ac:dyDescent="0.25">
      <c r="B2" s="2" t="s">
        <v>0</v>
      </c>
      <c r="C2" s="16" t="s">
        <v>3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7"/>
    </row>
    <row r="3" spans="2:17" ht="27" customHeight="1" x14ac:dyDescent="0.25">
      <c r="B3" s="3" t="s">
        <v>1</v>
      </c>
      <c r="C3" s="18" t="s">
        <v>36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</row>
    <row r="4" spans="2:17" ht="30" customHeight="1" x14ac:dyDescent="0.25">
      <c r="B4" s="4" t="s">
        <v>19</v>
      </c>
      <c r="C4" s="14" t="str">
        <f>_xlfn.WEBSERVICE("https://apiperu.dev/api/dni/"&amp;C3&amp;"?api_token="&amp;C2&amp;"")</f>
        <v>{"success":false,"message":"Ha superado la cantidad de consultas mensuales"}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5"/>
    </row>
    <row r="5" spans="2:17" ht="27.75" customHeight="1" x14ac:dyDescent="0.25">
      <c r="B5" s="3" t="s">
        <v>2</v>
      </c>
      <c r="C5" s="18" t="s">
        <v>20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</row>
    <row r="6" spans="2:17" ht="45.75" customHeight="1" thickBot="1" x14ac:dyDescent="0.3">
      <c r="B6" s="5" t="s">
        <v>19</v>
      </c>
      <c r="C6" s="21" t="str">
        <f>_xlfn.WEBSERVICE("https://apiperu.dev/api/ruc/"&amp;C5&amp;"?api_token="&amp;C2&amp;"")</f>
        <v>{"success":false,"message":"Ha superado la cantidad de consultas mensuales"}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2"/>
    </row>
    <row r="7" spans="2:17" ht="15.75" thickBot="1" x14ac:dyDescent="0.3"/>
    <row r="8" spans="2:17" x14ac:dyDescent="0.25">
      <c r="C8" s="26" t="s">
        <v>4</v>
      </c>
      <c r="D8" s="27"/>
      <c r="E8" s="27"/>
      <c r="F8" s="28"/>
      <c r="H8" s="23" t="s">
        <v>11</v>
      </c>
      <c r="I8" s="24"/>
      <c r="J8" s="24"/>
      <c r="K8" s="24"/>
      <c r="L8" s="24"/>
      <c r="M8" s="25"/>
    </row>
    <row r="9" spans="2:17" x14ac:dyDescent="0.25">
      <c r="C9" s="31" t="str">
        <f>ExtraerNombreCompleto(C4)</f>
        <v/>
      </c>
      <c r="D9" s="13"/>
      <c r="E9" s="13"/>
      <c r="F9" s="20"/>
      <c r="H9" s="3" t="s">
        <v>5</v>
      </c>
      <c r="I9" s="13" t="str">
        <f>ExtraerRUC(C6)</f>
        <v/>
      </c>
      <c r="J9" s="13"/>
      <c r="K9" s="13"/>
      <c r="L9" s="13"/>
      <c r="M9" s="20"/>
    </row>
    <row r="10" spans="2:17" ht="15" customHeight="1" x14ac:dyDescent="0.25">
      <c r="C10" s="3" t="s">
        <v>6</v>
      </c>
      <c r="D10" s="13" t="str">
        <f>ExtraerNumero(C4)</f>
        <v/>
      </c>
      <c r="E10" s="13"/>
      <c r="F10" s="20"/>
      <c r="H10" s="3" t="s">
        <v>14</v>
      </c>
      <c r="I10" s="13" t="str">
        <f>ExtraerRazonSocial(C6)</f>
        <v/>
      </c>
      <c r="J10" s="13"/>
      <c r="K10" s="13"/>
      <c r="L10" s="13"/>
      <c r="M10" s="20"/>
    </row>
    <row r="11" spans="2:17" x14ac:dyDescent="0.25">
      <c r="C11" s="3" t="s">
        <v>10</v>
      </c>
      <c r="D11" s="13" t="str">
        <f>ExtraerCodigoVerificacion(C4)</f>
        <v/>
      </c>
      <c r="E11" s="13"/>
      <c r="F11" s="20"/>
      <c r="H11" s="3" t="s">
        <v>12</v>
      </c>
      <c r="I11" s="13" t="str">
        <f>ExtraerEstado(C6)</f>
        <v/>
      </c>
      <c r="J11" s="13"/>
      <c r="K11" s="13"/>
      <c r="L11" s="13"/>
      <c r="M11" s="20"/>
    </row>
    <row r="12" spans="2:17" x14ac:dyDescent="0.25">
      <c r="C12" s="3" t="s">
        <v>7</v>
      </c>
      <c r="D12" s="13" t="str">
        <f>ExtraerNombres(C4)</f>
        <v/>
      </c>
      <c r="E12" s="13"/>
      <c r="F12" s="20"/>
      <c r="H12" s="3" t="s">
        <v>13</v>
      </c>
      <c r="I12" s="13" t="str">
        <f>ExtraerCondicion(C6)</f>
        <v/>
      </c>
      <c r="J12" s="13"/>
      <c r="K12" s="13"/>
      <c r="L12" s="13"/>
      <c r="M12" s="20"/>
    </row>
    <row r="13" spans="2:17" x14ac:dyDescent="0.25">
      <c r="C13" s="3" t="s">
        <v>8</v>
      </c>
      <c r="D13" s="13" t="str">
        <f>ExtraerApellidoPaterno(C4)</f>
        <v/>
      </c>
      <c r="E13" s="13"/>
      <c r="F13" s="20"/>
      <c r="H13" s="3" t="s">
        <v>15</v>
      </c>
      <c r="I13" s="13" t="str">
        <f>ExtraerDepartamento(C6)</f>
        <v/>
      </c>
      <c r="J13" s="13"/>
      <c r="K13" s="13"/>
      <c r="L13" s="13"/>
      <c r="M13" s="20"/>
    </row>
    <row r="14" spans="2:17" ht="15.75" thickBot="1" x14ac:dyDescent="0.3">
      <c r="C14" s="6" t="s">
        <v>9</v>
      </c>
      <c r="D14" s="29" t="str">
        <f>ExtraerApellidoMaterno(C4)</f>
        <v/>
      </c>
      <c r="E14" s="29"/>
      <c r="F14" s="30"/>
      <c r="H14" s="3" t="s">
        <v>16</v>
      </c>
      <c r="I14" s="13" t="str">
        <f>ExtraerProvincia(C6)</f>
        <v/>
      </c>
      <c r="J14" s="13"/>
      <c r="K14" s="13"/>
      <c r="L14" s="13"/>
      <c r="M14" s="20"/>
    </row>
    <row r="15" spans="2:17" x14ac:dyDescent="0.25">
      <c r="H15" s="3" t="s">
        <v>17</v>
      </c>
      <c r="I15" s="13" t="str">
        <f>ExtraerDistrito(C6)</f>
        <v/>
      </c>
      <c r="J15" s="13"/>
      <c r="K15" s="13"/>
      <c r="L15" s="13"/>
      <c r="M15" s="20"/>
    </row>
    <row r="16" spans="2:17" x14ac:dyDescent="0.25">
      <c r="H16" s="3" t="s">
        <v>18</v>
      </c>
      <c r="I16" s="13" t="str">
        <f>ExtraerDireccion(C6)</f>
        <v/>
      </c>
      <c r="J16" s="13"/>
      <c r="K16" s="13"/>
      <c r="L16" s="13"/>
      <c r="M16" s="20"/>
    </row>
    <row r="17" spans="8:13" ht="15.75" thickBot="1" x14ac:dyDescent="0.3">
      <c r="H17" s="32" t="str">
        <f>ExtraerDireccionCompleta(C6)</f>
        <v/>
      </c>
      <c r="I17" s="29"/>
      <c r="J17" s="29"/>
      <c r="K17" s="29"/>
      <c r="L17" s="29"/>
      <c r="M17" s="30"/>
    </row>
  </sheetData>
  <mergeCells count="22">
    <mergeCell ref="I16:M16"/>
    <mergeCell ref="H17:M17"/>
    <mergeCell ref="I10:M10"/>
    <mergeCell ref="I11:M11"/>
    <mergeCell ref="I12:M12"/>
    <mergeCell ref="I13:M13"/>
    <mergeCell ref="I14:M14"/>
    <mergeCell ref="I15:M15"/>
    <mergeCell ref="D14:F14"/>
    <mergeCell ref="C9:F9"/>
    <mergeCell ref="D10:F10"/>
    <mergeCell ref="D11:F11"/>
    <mergeCell ref="D12:F12"/>
    <mergeCell ref="D13:F13"/>
    <mergeCell ref="C4:Q4"/>
    <mergeCell ref="C2:Q2"/>
    <mergeCell ref="C3:Q3"/>
    <mergeCell ref="I9:M9"/>
    <mergeCell ref="C6:Q6"/>
    <mergeCell ref="C5:Q5"/>
    <mergeCell ref="H8:M8"/>
    <mergeCell ref="C8:F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04EDF-794E-4277-A24D-8D3CCC767188}">
  <sheetPr codeName="Hoja1"/>
  <dimension ref="E5:J12"/>
  <sheetViews>
    <sheetView workbookViewId="0">
      <selection activeCell="C6" sqref="C6"/>
    </sheetView>
  </sheetViews>
  <sheetFormatPr baseColWidth="10" defaultRowHeight="15" x14ac:dyDescent="0.25"/>
  <cols>
    <col min="1" max="16384" width="11.42578125" style="12"/>
  </cols>
  <sheetData>
    <row r="5" spans="5:10" ht="15.75" thickBot="1" x14ac:dyDescent="0.3"/>
    <row r="6" spans="5:10" x14ac:dyDescent="0.25">
      <c r="E6" s="33" t="s">
        <v>33</v>
      </c>
      <c r="F6" s="34"/>
      <c r="G6" s="34"/>
      <c r="H6" s="34"/>
      <c r="I6" s="34"/>
      <c r="J6" s="35"/>
    </row>
    <row r="7" spans="5:10" x14ac:dyDescent="0.25">
      <c r="E7" s="36"/>
      <c r="F7" s="37"/>
      <c r="G7" s="37"/>
      <c r="H7" s="37"/>
      <c r="I7" s="37"/>
      <c r="J7" s="38"/>
    </row>
    <row r="8" spans="5:10" x14ac:dyDescent="0.25">
      <c r="E8" s="36"/>
      <c r="F8" s="37"/>
      <c r="G8" s="37"/>
      <c r="H8" s="37"/>
      <c r="I8" s="37"/>
      <c r="J8" s="38"/>
    </row>
    <row r="9" spans="5:10" ht="47.25" customHeight="1" x14ac:dyDescent="0.4">
      <c r="E9" s="39" t="s">
        <v>35</v>
      </c>
      <c r="F9" s="40"/>
      <c r="G9" s="40"/>
      <c r="H9" s="40"/>
      <c r="I9" s="40"/>
      <c r="J9" s="41"/>
    </row>
    <row r="10" spans="5:10" ht="47.25" customHeight="1" x14ac:dyDescent="0.25">
      <c r="E10" s="45" t="s">
        <v>34</v>
      </c>
      <c r="F10" s="46"/>
      <c r="G10" s="46"/>
      <c r="H10" s="46"/>
      <c r="I10" s="46"/>
      <c r="J10" s="47"/>
    </row>
    <row r="11" spans="5:10" ht="46.5" customHeight="1" x14ac:dyDescent="0.4">
      <c r="E11" s="39" t="s">
        <v>32</v>
      </c>
      <c r="F11" s="40"/>
      <c r="G11" s="40"/>
      <c r="H11" s="40"/>
      <c r="I11" s="40"/>
      <c r="J11" s="41"/>
    </row>
    <row r="12" spans="5:10" ht="34.5" customHeight="1" thickBot="1" x14ac:dyDescent="0.45">
      <c r="E12" s="42">
        <v>44995</v>
      </c>
      <c r="F12" s="43"/>
      <c r="G12" s="43"/>
      <c r="H12" s="43"/>
      <c r="I12" s="43"/>
      <c r="J12" s="44"/>
    </row>
  </sheetData>
  <sheetProtection algorithmName="SHA-512" hashValue="WYnEetXQSy6N4Hof0WhfMdO//Y6WHqQhxe3u1to0XXriBmUMyH3mAYKu87Naqwu2KOZ0gd5V+4F65BFkZGGhbg==" saltValue="YAc61p91X3qdhAl6sGDtbw==" spinCount="100000" sheet="1" objects="1" scenarios="1"/>
  <mergeCells count="5">
    <mergeCell ref="E6:J8"/>
    <mergeCell ref="E9:J9"/>
    <mergeCell ref="E11:J11"/>
    <mergeCell ref="E12:J12"/>
    <mergeCell ref="E10:J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Venta</vt:lpstr>
      <vt:lpstr>Movimientos</vt:lpstr>
      <vt:lpstr>Calculos</vt:lpstr>
      <vt:lpstr>Caja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2023-09-26T21:56:19Z</dcterms:modified>
</cp:coreProperties>
</file>