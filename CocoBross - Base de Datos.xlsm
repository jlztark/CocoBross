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6BFE02BB-532A-46AD-994C-519AF50499F5}" xr6:coauthVersionLast="47" xr6:coauthVersionMax="47" xr10:uidLastSave="{00000000-0000-0000-0000-000000000000}"/>
  <bookViews>
    <workbookView xWindow="-120" yWindow="-120" windowWidth="20730" windowHeight="11160" activeTab="3" xr2:uid="{9B304E26-0708-4FE1-8548-78D1631931F0}"/>
  </bookViews>
  <sheets>
    <sheet name="Productos" sheetId="2" r:id="rId1"/>
    <sheet name="Entradas" sheetId="9" r:id="rId2"/>
    <sheet name="Devoluciones" sheetId="10" r:id="rId3"/>
    <sheet name="Clientes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" i="2" l="1"/>
  <c r="K23" i="2"/>
  <c r="E23" i="2"/>
  <c r="L22" i="2"/>
  <c r="K22" i="2"/>
  <c r="E22" i="2"/>
  <c r="L21" i="2"/>
  <c r="K21" i="2"/>
  <c r="E21" i="2"/>
  <c r="L20" i="2"/>
  <c r="K20" i="2"/>
  <c r="E20" i="2"/>
  <c r="L19" i="2"/>
  <c r="K19" i="2"/>
  <c r="E19" i="2"/>
  <c r="L18" i="2"/>
  <c r="K18" i="2"/>
  <c r="E18" i="2"/>
  <c r="L17" i="2"/>
  <c r="K17" i="2"/>
  <c r="E17" i="2"/>
  <c r="L16" i="2"/>
  <c r="K16" i="2"/>
  <c r="E16" i="2"/>
  <c r="L15" i="2"/>
  <c r="K15" i="2"/>
  <c r="E15" i="2"/>
  <c r="L14" i="2"/>
  <c r="K14" i="2"/>
  <c r="E14" i="2"/>
  <c r="L13" i="2"/>
  <c r="K13" i="2"/>
  <c r="E13" i="2"/>
  <c r="L12" i="2"/>
  <c r="K12" i="2"/>
  <c r="E12" i="2"/>
  <c r="L11" i="2"/>
  <c r="K11" i="2"/>
  <c r="E11" i="2"/>
  <c r="L10" i="2"/>
  <c r="K10" i="2"/>
  <c r="E10" i="2"/>
  <c r="L9" i="2"/>
  <c r="K9" i="2"/>
  <c r="E9" i="2"/>
  <c r="L8" i="2"/>
  <c r="K8" i="2"/>
  <c r="E8" i="2"/>
  <c r="L7" i="2"/>
  <c r="K7" i="2"/>
  <c r="E7" i="2"/>
  <c r="L6" i="2"/>
  <c r="K6" i="2"/>
  <c r="E6" i="2"/>
  <c r="L5" i="2"/>
  <c r="K5" i="2"/>
  <c r="E5" i="2"/>
  <c r="L4" i="2"/>
  <c r="K4" i="2"/>
  <c r="E4" i="2"/>
  <c r="L3" i="2"/>
  <c r="K3" i="2"/>
  <c r="E3" i="2"/>
</calcChain>
</file>

<file path=xl/sharedStrings.xml><?xml version="1.0" encoding="utf-8"?>
<sst xmlns="http://schemas.openxmlformats.org/spreadsheetml/2006/main" count="70" uniqueCount="50">
  <si>
    <t>PRODUCTO</t>
  </si>
  <si>
    <t>% RENTABILIDAD</t>
  </si>
  <si>
    <t>GANANCIA</t>
  </si>
  <si>
    <t>Agua de coco 400ml</t>
  </si>
  <si>
    <t>COCOBROSS</t>
  </si>
  <si>
    <t>Agua de coco 500ml</t>
  </si>
  <si>
    <t>Agua de coco 625ml</t>
  </si>
  <si>
    <t>Agua de coco 1L</t>
  </si>
  <si>
    <t>Agua de coco 1.5L</t>
  </si>
  <si>
    <t>Agua de coco 2L</t>
  </si>
  <si>
    <t>Agua de coco 4L</t>
  </si>
  <si>
    <t>Cubicoco 1.5Kg</t>
  </si>
  <si>
    <t>Cubicoco 700Kg</t>
  </si>
  <si>
    <t>Aceite de coco 150ml</t>
  </si>
  <si>
    <t>Aceite de coco 250ml</t>
  </si>
  <si>
    <t>Aceite de coco 500ml</t>
  </si>
  <si>
    <t>Aceite de coco 1L</t>
  </si>
  <si>
    <t xml:space="preserve">Mono de coco </t>
  </si>
  <si>
    <t>Casita de coco</t>
  </si>
  <si>
    <t>Mono pareja de coco</t>
  </si>
  <si>
    <t>CODIGO</t>
  </si>
  <si>
    <t>PROVEDOR</t>
  </si>
  <si>
    <t>PRECIO COMPRA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</si>
  <si>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</si>
  <si>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</si>
  <si>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</si>
  <si>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</si>
  <si>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</si>
  <si>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</si>
  <si>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</si>
  <si>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</si>
  <si>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</si>
  <si>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</si>
  <si>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</si>
  <si>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</si>
  <si>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</si>
  <si>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</si>
  <si>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</si>
  <si>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</si>
  <si>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</si>
  <si>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</si>
  <si>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</si>
  <si>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</si>
  <si>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CANT EXISTENTE</t>
  </si>
  <si>
    <t>CANT VENDIDA</t>
  </si>
  <si>
    <t>INGRESO</t>
  </si>
  <si>
    <t>DEVOLUCION</t>
  </si>
  <si>
    <t>PRECIO VENTA</t>
  </si>
  <si>
    <t>Coco en Fruta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</si>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</sst>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B1:L23"/>
  <sheetViews>
    <sheetView workbookViewId="0">
      <selection activeCell="E9" sqref="E9"/>
    </sheetView>
  </sheetViews>
  <sheetFormatPr baseColWidth="10" defaultRowHeight="15" x14ac:dyDescent="0.25"/>
  <cols>
    <col min="1" max="1" width="4" style="1" customWidth="1"/>
    <col min="2" max="2" width="8.7109375" style="1" customWidth="1"/>
    <col min="3" max="3" width="23.28515625" style="3" customWidth="1"/>
    <col min="4" max="4" width="14.28515625" style="1" customWidth="1"/>
    <col min="5" max="5" width="18.140625" style="1" customWidth="1"/>
    <col min="6" max="6" width="16.7109375" style="1" customWidth="1"/>
    <col min="7" max="7" width="9.5703125" style="1" customWidth="1"/>
    <col min="8" max="8" width="13.140625" style="1" customWidth="1"/>
    <col min="9" max="9" width="16.85546875" style="3" customWidth="1"/>
    <col min="10" max="10" width="15.5703125" style="3" customWidth="1"/>
    <col min="11" max="11" width="18.28515625" style="1" customWidth="1"/>
    <col min="12" max="12" width="14.140625" style="1" customWidth="1"/>
    <col min="13" max="16384" width="11.42578125" style="1"/>
  </cols>
  <sheetData>
    <row r="1" spans="2:12" ht="9.75" customHeight="1" x14ac:dyDescent="0.25"/>
    <row r="2" spans="2:12" ht="22.5" customHeight="1" x14ac:dyDescent="0.25">
      <c r="B2" s="9" t="s">
        <v>20</v>
      </c>
      <c r="C2" s="4" t="s">
        <v>0</v>
      </c>
      <c r="D2" s="9" t="s">
        <v>21</v>
      </c>
      <c r="E2" s="9" t="s">
        <v>43</v>
      </c>
      <c r="F2" s="9" t="s">
        <v>44</v>
      </c>
      <c r="G2" s="9" t="s">
        <v>45</v>
      </c>
      <c r="H2" s="9" t="s">
        <v>46</v>
      </c>
      <c r="I2" s="4" t="s">
        <v>22</v>
      </c>
      <c r="J2" s="4" t="s">
        <v>47</v>
      </c>
      <c r="K2" s="9" t="s">
        <v>1</v>
      </c>
      <c r="L2" s="9" t="s">
        <v>2</v>
      </c>
    </row>
    <row r="3" spans="2:12" x14ac:dyDescent="0.25">
      <c r="B3" s="10" t="s">
        <v>23</v>
      </c>
      <c r="C3" s="5" t="s">
        <v>48</v>
      </c>
      <c r="D3" s="2" t="s">
        <v>4</v>
      </c>
      <c r="E3" s="2">
        <f>G3-H3</f>
        <v>0</v>
      </c>
      <c r="F3" s="2">
        <v>0</v>
      </c>
      <c r="G3" s="2">
        <v>0</v>
      </c>
      <c r="H3" s="2">
        <v>0</v>
      </c>
      <c r="I3" s="8">
        <v>1.2</v>
      </c>
      <c r="J3" s="8">
        <v>3.5</v>
      </c>
      <c r="K3" s="11">
        <f>((J3-I3)/I3)</f>
        <v>1.9166666666666665</v>
      </c>
      <c r="L3" s="12">
        <f>J3-I3</f>
        <v>2.2999999999999998</v>
      </c>
    </row>
    <row r="4" spans="2:12" x14ac:dyDescent="0.25">
      <c r="B4" s="10" t="s">
        <v>24</v>
      </c>
      <c r="C4" s="5" t="s">
        <v>3</v>
      </c>
      <c r="D4" s="2" t="s">
        <v>4</v>
      </c>
      <c r="E4" s="2">
        <f>G4-H4</f>
        <v>0</v>
      </c>
      <c r="F4" s="2">
        <v>0</v>
      </c>
      <c r="G4" s="2">
        <v>0</v>
      </c>
      <c r="H4" s="2">
        <v>0</v>
      </c>
      <c r="I4" s="8">
        <v>0.5</v>
      </c>
      <c r="J4" s="8">
        <v>27</v>
      </c>
      <c r="K4" s="11">
        <f>((J4-I4)/I4)</f>
        <v>53</v>
      </c>
      <c r="L4" s="12">
        <f>J4-I4</f>
        <v>26.5</v>
      </c>
    </row>
    <row r="5" spans="2:12" x14ac:dyDescent="0.25">
      <c r="B5" s="10" t="s">
        <v>25</v>
      </c>
      <c r="C5" s="5" t="s">
        <v>5</v>
      </c>
      <c r="D5" s="2" t="s">
        <v>4</v>
      </c>
      <c r="E5" s="2">
        <f t="shared" ref="E5:E23" si="0">G5-H5</f>
        <v>0</v>
      </c>
      <c r="F5" s="2">
        <v>0</v>
      </c>
      <c r="G5" s="2">
        <v>0</v>
      </c>
      <c r="H5" s="2">
        <v>0</v>
      </c>
      <c r="I5" s="8">
        <v>2.2999999999999998</v>
      </c>
      <c r="J5" s="8">
        <v>3</v>
      </c>
      <c r="K5" s="11">
        <f t="shared" ref="K5:K23" si="1">((J5-I5)/I5)</f>
        <v>0.3043478260869566</v>
      </c>
      <c r="L5" s="12">
        <f t="shared" ref="L5:L23" si="2">J5-I5</f>
        <v>0.70000000000000018</v>
      </c>
    </row>
    <row r="6" spans="2:12" x14ac:dyDescent="0.25">
      <c r="B6" s="10" t="s">
        <v>26</v>
      </c>
      <c r="C6" s="5" t="s">
        <v>6</v>
      </c>
      <c r="D6" s="2" t="s">
        <v>4</v>
      </c>
      <c r="E6" s="2">
        <f t="shared" si="0"/>
        <v>0</v>
      </c>
      <c r="F6" s="2">
        <v>0</v>
      </c>
      <c r="G6" s="2">
        <v>0</v>
      </c>
      <c r="H6" s="2">
        <v>0</v>
      </c>
      <c r="I6" s="8">
        <v>2.2999999999999998</v>
      </c>
      <c r="J6" s="8">
        <v>3</v>
      </c>
      <c r="K6" s="11">
        <f t="shared" si="1"/>
        <v>0.3043478260869566</v>
      </c>
      <c r="L6" s="12">
        <f t="shared" si="2"/>
        <v>0.70000000000000018</v>
      </c>
    </row>
    <row r="7" spans="2:12" x14ac:dyDescent="0.25">
      <c r="B7" s="10" t="s">
        <v>27</v>
      </c>
      <c r="C7" s="5" t="s">
        <v>7</v>
      </c>
      <c r="D7" s="2" t="s">
        <v>4</v>
      </c>
      <c r="E7" s="2">
        <f t="shared" si="0"/>
        <v>0</v>
      </c>
      <c r="F7" s="2">
        <v>0</v>
      </c>
      <c r="G7" s="2">
        <v>0</v>
      </c>
      <c r="H7" s="2">
        <v>0</v>
      </c>
      <c r="I7" s="8">
        <v>2.2999999999999998</v>
      </c>
      <c r="J7" s="8">
        <v>3</v>
      </c>
      <c r="K7" s="11">
        <f>((J7-I7)/I7)</f>
        <v>0.3043478260869566</v>
      </c>
      <c r="L7" s="12">
        <f t="shared" si="2"/>
        <v>0.70000000000000018</v>
      </c>
    </row>
    <row r="8" spans="2:12" x14ac:dyDescent="0.25">
      <c r="B8" s="10" t="s">
        <v>28</v>
      </c>
      <c r="C8" s="5" t="s">
        <v>8</v>
      </c>
      <c r="D8" s="2" t="s">
        <v>4</v>
      </c>
      <c r="E8" s="2">
        <f t="shared" si="0"/>
        <v>0</v>
      </c>
      <c r="F8" s="2">
        <v>0</v>
      </c>
      <c r="G8" s="2">
        <v>0</v>
      </c>
      <c r="H8" s="2">
        <v>0</v>
      </c>
      <c r="I8" s="8">
        <v>2.2999999999999998</v>
      </c>
      <c r="J8" s="8">
        <v>3</v>
      </c>
      <c r="K8" s="11">
        <f t="shared" si="1"/>
        <v>0.3043478260869566</v>
      </c>
      <c r="L8" s="12">
        <f t="shared" si="2"/>
        <v>0.70000000000000018</v>
      </c>
    </row>
    <row r="9" spans="2:12" x14ac:dyDescent="0.25">
      <c r="B9" s="10" t="s">
        <v>29</v>
      </c>
      <c r="C9" s="5" t="s">
        <v>9</v>
      </c>
      <c r="D9" s="2" t="s">
        <v>4</v>
      </c>
      <c r="E9" s="2">
        <f t="shared" si="0"/>
        <v>0</v>
      </c>
      <c r="F9" s="2">
        <v>0</v>
      </c>
      <c r="G9" s="2">
        <v>0</v>
      </c>
      <c r="H9" s="2">
        <v>0</v>
      </c>
      <c r="I9" s="8">
        <v>2.2999999999999998</v>
      </c>
      <c r="J9" s="8">
        <v>3</v>
      </c>
      <c r="K9" s="11">
        <f t="shared" si="1"/>
        <v>0.3043478260869566</v>
      </c>
      <c r="L9" s="12">
        <f t="shared" si="2"/>
        <v>0.70000000000000018</v>
      </c>
    </row>
    <row r="10" spans="2:12" x14ac:dyDescent="0.25">
      <c r="B10" s="10" t="s">
        <v>30</v>
      </c>
      <c r="C10" s="5" t="s">
        <v>10</v>
      </c>
      <c r="D10" s="2" t="s">
        <v>4</v>
      </c>
      <c r="E10" s="2">
        <f t="shared" si="0"/>
        <v>0</v>
      </c>
      <c r="F10" s="2">
        <v>0</v>
      </c>
      <c r="G10" s="2">
        <v>0</v>
      </c>
      <c r="H10" s="2">
        <v>0</v>
      </c>
      <c r="I10" s="8">
        <v>2.2999999999999998</v>
      </c>
      <c r="J10" s="8">
        <v>3</v>
      </c>
      <c r="K10" s="11">
        <f t="shared" si="1"/>
        <v>0.3043478260869566</v>
      </c>
      <c r="L10" s="12">
        <f t="shared" si="2"/>
        <v>0.70000000000000018</v>
      </c>
    </row>
    <row r="11" spans="2:12" x14ac:dyDescent="0.25">
      <c r="B11" s="10" t="s">
        <v>31</v>
      </c>
      <c r="C11" s="5" t="s">
        <v>11</v>
      </c>
      <c r="D11" s="2" t="s">
        <v>4</v>
      </c>
      <c r="E11" s="2">
        <f t="shared" si="0"/>
        <v>0</v>
      </c>
      <c r="F11" s="2">
        <v>0</v>
      </c>
      <c r="G11" s="2">
        <v>0</v>
      </c>
      <c r="H11" s="2">
        <v>0</v>
      </c>
      <c r="I11" s="8">
        <v>2.2999999999999998</v>
      </c>
      <c r="J11" s="8">
        <v>3</v>
      </c>
      <c r="K11" s="11">
        <f t="shared" si="1"/>
        <v>0.3043478260869566</v>
      </c>
      <c r="L11" s="12">
        <f t="shared" si="2"/>
        <v>0.70000000000000018</v>
      </c>
    </row>
    <row r="12" spans="2:12" x14ac:dyDescent="0.25">
      <c r="B12" s="10" t="s">
        <v>32</v>
      </c>
      <c r="C12" s="5" t="s">
        <v>12</v>
      </c>
      <c r="D12" s="2" t="s">
        <v>4</v>
      </c>
      <c r="E12" s="2">
        <f t="shared" si="0"/>
        <v>0</v>
      </c>
      <c r="F12" s="2">
        <v>0</v>
      </c>
      <c r="G12" s="2">
        <v>0</v>
      </c>
      <c r="H12" s="2">
        <v>0</v>
      </c>
      <c r="I12" s="8">
        <v>2.2999999999999998</v>
      </c>
      <c r="J12" s="8">
        <v>3</v>
      </c>
      <c r="K12" s="11">
        <f t="shared" si="1"/>
        <v>0.3043478260869566</v>
      </c>
      <c r="L12" s="12">
        <f t="shared" si="2"/>
        <v>0.70000000000000018</v>
      </c>
    </row>
    <row r="13" spans="2:12" x14ac:dyDescent="0.25">
      <c r="B13" s="10" t="s">
        <v>33</v>
      </c>
      <c r="C13" s="5" t="s">
        <v>13</v>
      </c>
      <c r="D13" s="2" t="s">
        <v>4</v>
      </c>
      <c r="E13" s="2">
        <f t="shared" si="0"/>
        <v>0</v>
      </c>
      <c r="F13" s="2">
        <v>0</v>
      </c>
      <c r="G13" s="2">
        <v>0</v>
      </c>
      <c r="H13" s="2">
        <v>0</v>
      </c>
      <c r="I13" s="8">
        <v>2.2999999999999998</v>
      </c>
      <c r="J13" s="8">
        <v>3</v>
      </c>
      <c r="K13" s="11">
        <f t="shared" si="1"/>
        <v>0.3043478260869566</v>
      </c>
      <c r="L13" s="12">
        <f t="shared" si="2"/>
        <v>0.70000000000000018</v>
      </c>
    </row>
    <row r="14" spans="2:12" x14ac:dyDescent="0.25">
      <c r="B14" s="10" t="s">
        <v>34</v>
      </c>
      <c r="C14" s="5" t="s">
        <v>14</v>
      </c>
      <c r="D14" s="2" t="s">
        <v>4</v>
      </c>
      <c r="E14" s="2">
        <f t="shared" si="0"/>
        <v>0</v>
      </c>
      <c r="F14" s="2">
        <v>0</v>
      </c>
      <c r="G14" s="2">
        <v>0</v>
      </c>
      <c r="H14" s="2">
        <v>0</v>
      </c>
      <c r="I14" s="8">
        <v>2.2999999999999998</v>
      </c>
      <c r="J14" s="8">
        <v>3</v>
      </c>
      <c r="K14" s="11">
        <f t="shared" si="1"/>
        <v>0.3043478260869566</v>
      </c>
      <c r="L14" s="12">
        <f t="shared" si="2"/>
        <v>0.70000000000000018</v>
      </c>
    </row>
    <row r="15" spans="2:12" x14ac:dyDescent="0.25">
      <c r="B15" s="10" t="s">
        <v>35</v>
      </c>
      <c r="C15" s="5" t="s">
        <v>15</v>
      </c>
      <c r="D15" s="2" t="s">
        <v>4</v>
      </c>
      <c r="E15" s="2">
        <f t="shared" si="0"/>
        <v>0</v>
      </c>
      <c r="F15" s="2">
        <v>1</v>
      </c>
      <c r="G15" s="2">
        <v>0</v>
      </c>
      <c r="H15" s="2">
        <v>0</v>
      </c>
      <c r="I15" s="8">
        <v>2.2999999999999998</v>
      </c>
      <c r="J15" s="8">
        <v>3</v>
      </c>
      <c r="K15" s="11">
        <f t="shared" si="1"/>
        <v>0.3043478260869566</v>
      </c>
      <c r="L15" s="12">
        <f t="shared" si="2"/>
        <v>0.70000000000000018</v>
      </c>
    </row>
    <row r="16" spans="2:12" x14ac:dyDescent="0.25">
      <c r="B16" s="10" t="s">
        <v>36</v>
      </c>
      <c r="C16" s="5" t="s">
        <v>16</v>
      </c>
      <c r="D16" s="2" t="s">
        <v>4</v>
      </c>
      <c r="E16" s="2">
        <f t="shared" si="0"/>
        <v>0</v>
      </c>
      <c r="F16" s="2">
        <v>0</v>
      </c>
      <c r="G16" s="2">
        <v>0</v>
      </c>
      <c r="H16" s="2">
        <v>0</v>
      </c>
      <c r="I16" s="8">
        <v>2.2999999999999998</v>
      </c>
      <c r="J16" s="8">
        <v>3</v>
      </c>
      <c r="K16" s="11">
        <f t="shared" si="1"/>
        <v>0.3043478260869566</v>
      </c>
      <c r="L16" s="12">
        <f t="shared" si="2"/>
        <v>0.70000000000000018</v>
      </c>
    </row>
    <row r="17" spans="2:12" x14ac:dyDescent="0.25">
      <c r="B17" s="10" t="s">
        <v>37</v>
      </c>
      <c r="C17" s="5" t="s">
        <v>17</v>
      </c>
      <c r="D17" s="2" t="s">
        <v>4</v>
      </c>
      <c r="E17" s="2">
        <f t="shared" si="0"/>
        <v>0</v>
      </c>
      <c r="F17" s="2">
        <v>0</v>
      </c>
      <c r="G17" s="2">
        <v>0</v>
      </c>
      <c r="H17" s="2">
        <v>0</v>
      </c>
      <c r="I17" s="8">
        <v>2.2999999999999998</v>
      </c>
      <c r="J17" s="8">
        <v>3</v>
      </c>
      <c r="K17" s="11">
        <f t="shared" si="1"/>
        <v>0.3043478260869566</v>
      </c>
      <c r="L17" s="12">
        <f t="shared" si="2"/>
        <v>0.70000000000000018</v>
      </c>
    </row>
    <row r="18" spans="2:12" x14ac:dyDescent="0.25">
      <c r="B18" s="10" t="s">
        <v>38</v>
      </c>
      <c r="C18" s="5" t="s">
        <v>18</v>
      </c>
      <c r="D18" s="2" t="s">
        <v>4</v>
      </c>
      <c r="E18" s="2">
        <f t="shared" si="0"/>
        <v>0</v>
      </c>
      <c r="F18" s="2">
        <v>0</v>
      </c>
      <c r="G18" s="2">
        <v>0</v>
      </c>
      <c r="H18" s="2">
        <v>0</v>
      </c>
      <c r="I18" s="8">
        <v>2.2999999999999998</v>
      </c>
      <c r="J18" s="8">
        <v>3</v>
      </c>
      <c r="K18" s="11">
        <f t="shared" si="1"/>
        <v>0.3043478260869566</v>
      </c>
      <c r="L18" s="12">
        <f t="shared" si="2"/>
        <v>0.70000000000000018</v>
      </c>
    </row>
    <row r="19" spans="2:12" x14ac:dyDescent="0.25">
      <c r="B19" s="10" t="s">
        <v>39</v>
      </c>
      <c r="C19" s="6" t="s">
        <v>19</v>
      </c>
      <c r="D19" s="2" t="s">
        <v>4</v>
      </c>
      <c r="E19" s="2">
        <f t="shared" si="0"/>
        <v>0</v>
      </c>
      <c r="F19" s="2">
        <v>0</v>
      </c>
      <c r="G19" s="2">
        <v>0</v>
      </c>
      <c r="H19" s="2">
        <v>0</v>
      </c>
      <c r="I19" s="8">
        <v>2.2999999999999998</v>
      </c>
      <c r="J19" s="8">
        <v>3</v>
      </c>
      <c r="K19" s="11">
        <f t="shared" si="1"/>
        <v>0.3043478260869566</v>
      </c>
      <c r="L19" s="12">
        <f t="shared" si="2"/>
        <v>0.70000000000000018</v>
      </c>
    </row>
    <row r="20" spans="2:12" x14ac:dyDescent="0.25">
      <c r="B20" s="10" t="s">
        <v>40</v>
      </c>
      <c r="C20" s="7"/>
      <c r="D20" s="2" t="s">
        <v>4</v>
      </c>
      <c r="E20" s="2">
        <f t="shared" si="0"/>
        <v>0</v>
      </c>
      <c r="F20" s="2">
        <v>0</v>
      </c>
      <c r="G20" s="2">
        <v>0</v>
      </c>
      <c r="H20" s="2">
        <v>0</v>
      </c>
      <c r="I20" s="8">
        <v>2.2999999999999998</v>
      </c>
      <c r="J20" s="8">
        <v>3</v>
      </c>
      <c r="K20" s="11">
        <f t="shared" si="1"/>
        <v>0.3043478260869566</v>
      </c>
      <c r="L20" s="12">
        <f t="shared" si="2"/>
        <v>0.70000000000000018</v>
      </c>
    </row>
    <row r="21" spans="2:12" x14ac:dyDescent="0.25">
      <c r="B21" s="10" t="s">
        <v>41</v>
      </c>
      <c r="C21" s="7"/>
      <c r="D21" s="2" t="s">
        <v>4</v>
      </c>
      <c r="E21" s="2">
        <f t="shared" si="0"/>
        <v>0</v>
      </c>
      <c r="F21" s="2">
        <v>0</v>
      </c>
      <c r="G21" s="2">
        <v>0</v>
      </c>
      <c r="H21" s="2">
        <v>0</v>
      </c>
      <c r="I21" s="8">
        <v>2.2999999999999998</v>
      </c>
      <c r="J21" s="8">
        <v>3</v>
      </c>
      <c r="K21" s="11">
        <f t="shared" si="1"/>
        <v>0.3043478260869566</v>
      </c>
      <c r="L21" s="12">
        <f t="shared" si="2"/>
        <v>0.70000000000000018</v>
      </c>
    </row>
    <row r="22" spans="2:12" x14ac:dyDescent="0.25">
      <c r="B22" s="10" t="s">
        <v>42</v>
      </c>
      <c r="C22" s="7"/>
      <c r="D22" s="2" t="s">
        <v>4</v>
      </c>
      <c r="E22" s="2">
        <f t="shared" si="0"/>
        <v>0</v>
      </c>
      <c r="F22" s="2">
        <v>0</v>
      </c>
      <c r="G22" s="2">
        <v>0</v>
      </c>
      <c r="H22" s="2">
        <v>0</v>
      </c>
      <c r="I22" s="8">
        <v>2.2999999999999998</v>
      </c>
      <c r="J22" s="8">
        <v>3</v>
      </c>
      <c r="K22" s="11">
        <f t="shared" si="1"/>
        <v>0.3043478260869566</v>
      </c>
      <c r="L22" s="12">
        <f t="shared" si="2"/>
        <v>0.70000000000000018</v>
      </c>
    </row>
    <row r="23" spans="2:12" x14ac:dyDescent="0.25">
      <c r="B23" s="10" t="s">
        <v>49</v>
      </c>
      <c r="C23" s="7"/>
      <c r="D23" s="2" t="s">
        <v>4</v>
      </c>
      <c r="E23" s="2">
        <f t="shared" si="0"/>
        <v>0</v>
      </c>
      <c r="F23" s="2">
        <v>0</v>
      </c>
      <c r="G23" s="2">
        <v>0</v>
      </c>
      <c r="H23" s="2">
        <v>0</v>
      </c>
      <c r="I23" s="8">
        <v>2.2999999999999998</v>
      </c>
      <c r="J23" s="8">
        <v>3</v>
      </c>
      <c r="K23" s="11">
        <f t="shared" si="1"/>
        <v>0.3043478260869566</v>
      </c>
      <c r="L23" s="12">
        <f t="shared" si="2"/>
        <v>0.70000000000000018</v>
      </c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algorithmName="SHA-512" hashValue="fMGR6V65Q0Zrx3/vtFSYay0ORJuPDP55Gtd+6V2z3LvtuG1HSRDmrY0IZCntMMN8njbCvV61NHqrtPzf1bYViw==" saltValue="OKz++v2vmlXYbgZunnjg5A==" spinCount="100000" sqref="K7:K11" name="Rango1_1"/>
  </protectedRanges>
  <phoneticPr fontId="1" type="noConversion"/>
  <pageMargins left="0.7" right="0.7" top="0.75" bottom="0.75" header="0.3" footer="0.3"/>
  <pageSetup paperSize="9" orientation="portrait" r:id="rId1"/>
  <ignoredErrors>
    <ignoredError sqref="B3:B2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DAB5-95F3-4612-9A12-2EE635C43BC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BF50-0C5B-4F91-B0E6-79B6F577667D}">
  <sheetPr codeName="Hoja3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Productos</vt:lpstr>
      <vt:lpstr>Entradas</vt:lpstr>
      <vt:lpstr>Devoluciones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2023-09-26T21:56:26Z</dcterms:modified>
</cp:coreProperties>
</file>