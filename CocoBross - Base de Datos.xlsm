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 Luis\Desktop\CocoBross\"/>
    </mc:Choice>
  </mc:AlternateContent>
  <xr:revisionPtr revIDLastSave="0" documentId="13_ncr:1_{4EBEC887-2A75-4B83-B39A-027279EC14CF}" xr6:coauthVersionLast="47" xr6:coauthVersionMax="47" xr10:uidLastSave="{00000000-0000-0000-0000-000000000000}"/>
  <bookViews>
    <workbookView xWindow="-120" yWindow="-120" windowWidth="20730" windowHeight="11160" xr2:uid="{9B304E26-0708-4FE1-8548-78D1631931F0}"/>
  </bookViews>
  <sheets>
    <sheet name="Productos" sheetId="2" r:id="rId1"/>
    <sheet name="Movimientos" sheetId="9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2" l="1"/>
  <c r="K6" i="2"/>
  <c r="E6" i="2"/>
  <c r="E3" i="2"/>
  <c r="L5" i="2"/>
  <c r="K5" i="2"/>
  <c r="E5" i="2"/>
  <c r="L4" i="2"/>
  <c r="K4" i="2"/>
  <c r="E4" i="2"/>
  <c r="L3" i="2"/>
  <c r="K3" i="2"/>
</calcChain>
</file>

<file path=xl/sharedStrings.xml><?xml version="1.0" encoding="utf-8"?>
<sst xmlns="http://schemas.openxmlformats.org/spreadsheetml/2006/main" count="60" uniqueCount="31">
  <si>
    <t>PRODUCTO</t>
  </si>
  <si>
    <t>% RENTABILIDAD</t>
  </si>
  <si>
    <t>GANANCIA</t>
  </si>
  <si>
    <t>CODIGO</t>
  </si>
  <si>
    <t>PROVEDOR</t>
  </si>
  <si>
    <t>PRECIO COMPRA</t>
  </si>
  <si>
    <t>CANT EXISTENTE</t>
  </si>
  <si>
    <t>CANT VENDIDA</t>
  </si>
  <si>
    <t>INGRESO</t>
  </si>
  <si>
    <t>PRECIO VENTA</t>
  </si>
  <si>
    <t>CANTIDAD</t>
  </si>
  <si>
    <t>FECHA</t>
  </si>
  <si>
    <t>ENTRADAS</t>
  </si>
  <si>
    <t>N°</t>
  </si>
  <si>
    <t>FE</t>
  </si>
  <si>
    <t>fef</t>
  </si>
  <si>
    <t>fefe</t>
  </si>
  <si>
    <t>Agua de Coco 500ml</t>
  </si>
  <si>
    <t>Agua de Coco en Fruta</t>
  </si>
  <si>
    <t>CocoBross</t>
  </si>
  <si>
    <t>001</t>
  </si>
  <si>
    <t>002</t>
  </si>
  <si>
    <t>003</t>
  </si>
  <si>
    <t>Agua de Coco 625ml</t>
  </si>
  <si>
    <t>004</t>
  </si>
  <si>
    <t>Agua de Coco 1L</t>
  </si>
  <si>
    <t>009</t>
  </si>
  <si>
    <t>010</t>
  </si>
  <si>
    <t>MALOGRADOS</t>
  </si>
  <si>
    <t>MALOGRADO</t>
  </si>
  <si>
    <t>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</si>
</sst>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&quot;\ #,##0.00"/>
    <numFmt numFmtId="165" formatCode="&quot;S/&quot;#,##0.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 wrapText="1"/>
      <protection locked="0"/>
    </xf>
    <xf numFmtId="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17462-30A7-421E-B097-7E0946AF2CC1}">
  <sheetPr codeName="Hoja2"/>
  <dimension ref="B1:L7"/>
  <sheetViews>
    <sheetView tabSelected="1" workbookViewId="0">
      <selection activeCell="H3" sqref="H3"/>
    </sheetView>
  </sheetViews>
  <sheetFormatPr baseColWidth="10" defaultRowHeight="15" x14ac:dyDescent="0.25"/>
  <cols>
    <col min="1" max="1" width="4" style="1" customWidth="1"/>
    <col min="2" max="2" width="8.7109375" style="1" customWidth="1"/>
    <col min="3" max="3" width="23.28515625" style="3" customWidth="1"/>
    <col min="4" max="4" width="14.28515625" style="1" customWidth="1"/>
    <col min="5" max="5" width="18.140625" style="1" customWidth="1"/>
    <col min="6" max="6" width="16.7109375" style="1" customWidth="1"/>
    <col min="7" max="7" width="13.85546875" style="1" customWidth="1"/>
    <col min="8" max="8" width="13.140625" style="1" customWidth="1"/>
    <col min="9" max="9" width="16.85546875" style="3" customWidth="1"/>
    <col min="10" max="10" width="15.5703125" style="3" customWidth="1"/>
    <col min="11" max="11" width="18.28515625" style="1" customWidth="1"/>
    <col min="12" max="12" width="14.140625" style="1" customWidth="1"/>
    <col min="13" max="16384" width="11.42578125" style="1"/>
  </cols>
  <sheetData>
    <row r="1" spans="2:12" ht="9.75" customHeight="1" x14ac:dyDescent="0.25"/>
    <row r="2" spans="2:12" ht="22.5" customHeight="1" x14ac:dyDescent="0.25">
      <c r="B2" s="6" t="s">
        <v>3</v>
      </c>
      <c r="C2" s="4" t="s">
        <v>0</v>
      </c>
      <c r="D2" s="6" t="s">
        <v>4</v>
      </c>
      <c r="E2" s="6" t="s">
        <v>6</v>
      </c>
      <c r="F2" s="6" t="s">
        <v>7</v>
      </c>
      <c r="G2" s="6" t="s">
        <v>8</v>
      </c>
      <c r="H2" s="6" t="s">
        <v>29</v>
      </c>
      <c r="I2" s="4" t="s">
        <v>5</v>
      </c>
      <c r="J2" s="4" t="s">
        <v>9</v>
      </c>
      <c r="K2" s="6" t="s">
        <v>1</v>
      </c>
      <c r="L2" s="6" t="s">
        <v>2</v>
      </c>
    </row>
    <row r="3" spans="2:12" x14ac:dyDescent="0.25">
      <c r="B3" s="7" t="s">
        <v>20</v>
      </c>
      <c r="C3" s="9" t="s">
        <v>18</v>
      </c>
      <c r="D3" s="9" t="s">
        <v>19</v>
      </c>
      <c r="E3" s="2">
        <f t="shared" ref="E3:E5" si="0">G3-(H3+F3)</f>
        <v>18</v>
      </c>
      <c r="F3" s="2">
        <v>0</v>
      </c>
      <c r="G3" s="2">
        <v>30</v>
      </c>
      <c r="H3" s="2">
        <v>12</v>
      </c>
      <c r="I3" s="10">
        <v>1.2</v>
      </c>
      <c r="J3" s="11">
        <v>3.5</v>
      </c>
      <c r="K3" s="12">
        <f t="shared" ref="K3:K5" si="1">(J3-I3)/I3</f>
        <v>1.9166666666666665</v>
      </c>
      <c r="L3" s="13">
        <f t="shared" ref="L3:L5" si="2">J3-I3</f>
        <v>2.2999999999999998</v>
      </c>
    </row>
    <row r="4" spans="2:12" x14ac:dyDescent="0.25">
      <c r="B4" s="7" t="s">
        <v>21</v>
      </c>
      <c r="C4" s="9" t="s">
        <v>17</v>
      </c>
      <c r="D4" s="9" t="s">
        <v>19</v>
      </c>
      <c r="E4" s="2">
        <f t="shared" si="0"/>
        <v>10</v>
      </c>
      <c r="F4" s="2">
        <v>0</v>
      </c>
      <c r="G4" s="2">
        <v>10</v>
      </c>
      <c r="H4" s="2">
        <v>0</v>
      </c>
      <c r="I4" s="10">
        <v>1</v>
      </c>
      <c r="J4" s="11">
        <v>3.5</v>
      </c>
      <c r="K4" s="12">
        <f t="shared" si="1"/>
        <v>2.5</v>
      </c>
      <c r="L4" s="13">
        <f t="shared" si="2"/>
        <v>2.5</v>
      </c>
    </row>
    <row r="5" spans="2:12" x14ac:dyDescent="0.25">
      <c r="B5" s="7" t="s">
        <v>22</v>
      </c>
      <c r="C5" s="9" t="s">
        <v>23</v>
      </c>
      <c r="D5" s="9" t="s">
        <v>19</v>
      </c>
      <c r="E5" s="2">
        <f t="shared" si="0"/>
        <v>8</v>
      </c>
      <c r="F5" s="2">
        <v>0</v>
      </c>
      <c r="G5" s="2">
        <v>8</v>
      </c>
      <c r="H5" s="2">
        <v>0</v>
      </c>
      <c r="I5" s="10">
        <v>1</v>
      </c>
      <c r="J5" s="11">
        <v>4</v>
      </c>
      <c r="K5" s="12">
        <f t="shared" si="1"/>
        <v>3</v>
      </c>
      <c r="L5" s="13">
        <f t="shared" si="2"/>
        <v>3</v>
      </c>
    </row>
    <row r="6" spans="2:12" x14ac:dyDescent="0.25">
      <c r="B6" s="7" t="s">
        <v>24</v>
      </c>
      <c r="C6" s="9" t="s">
        <v>25</v>
      </c>
      <c r="D6" s="9" t="s">
        <v>19</v>
      </c>
      <c r="E6" s="2">
        <f>G6-(H6+F6)</f>
        <v>4</v>
      </c>
      <c r="F6" s="2">
        <v>0</v>
      </c>
      <c r="G6" s="2">
        <v>4</v>
      </c>
      <c r="H6" s="2">
        <v>0</v>
      </c>
      <c r="I6" s="10">
        <v>1</v>
      </c>
      <c r="J6" s="11">
        <v>7</v>
      </c>
      <c r="K6" s="12">
        <f>(J6-I6)/I6</f>
        <v>6</v>
      </c>
      <c r="L6" s="13">
        <f>J6-I6</f>
        <v>6</v>
      </c>
    </row>
    <row r="7" spans="2:12" x14ac:dyDescent="0.25">
      <c r="B7" s="7" t="s">
        <v>30</v>
      </c>
      <c r="C7" s="9" t="s">
        <v>25</v>
      </c>
      <c r="D7" s="2"/>
      <c r="E7" s="2"/>
      <c r="F7" s="2"/>
      <c r="G7" s="2"/>
      <c r="H7" s="2"/>
      <c r="I7" s="5"/>
      <c r="K7" s="2"/>
    </row>
  </sheetData>
  <sheetProtection formatCells="0" formatColumns="0" formatRows="0" insertColumns="0" insertRows="0" insertHyperlinks="0" deleteColumns="0" deleteRows="0" selectLockedCells="1" sort="0" autoFilter="0" pivotTables="0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4C1BE-0F55-4BA7-A48D-49AAD295E63B}">
  <sheetPr codeName="Hoja1"/>
  <dimension ref="B1:L8"/>
  <sheetViews>
    <sheetView workbookViewId="0">
      <selection activeCell="H3" sqref="H3"/>
    </sheetView>
  </sheetViews>
  <sheetFormatPr baseColWidth="10" defaultRowHeight="15" x14ac:dyDescent="0.25"/>
  <cols>
    <col min="1" max="1" width="10" style="1" customWidth="1"/>
    <col min="2" max="2" width="6.7109375" style="1" customWidth="1"/>
    <col min="3" max="3" width="8.85546875" style="1" customWidth="1"/>
    <col min="4" max="4" width="31.140625" style="3" customWidth="1"/>
    <col min="5" max="5" width="11.85546875" style="1" bestFit="1" customWidth="1"/>
    <col min="6" max="6" width="16.42578125" style="1" customWidth="1"/>
    <col min="7" max="7" width="9.7109375" style="1" customWidth="1"/>
    <col min="8" max="8" width="6.85546875" style="1" customWidth="1"/>
    <col min="9" max="9" width="8.7109375" style="1" customWidth="1"/>
    <col min="10" max="10" width="30.7109375" style="1" customWidth="1"/>
    <col min="11" max="11" width="11.42578125" style="1"/>
    <col min="12" max="12" width="16" style="1" customWidth="1"/>
    <col min="13" max="16384" width="11.42578125" style="1"/>
  </cols>
  <sheetData>
    <row r="1" spans="2:12" ht="18" customHeight="1" x14ac:dyDescent="0.25"/>
    <row r="2" spans="2:12" ht="18" customHeight="1" x14ac:dyDescent="0.25">
      <c r="B2" s="15" t="s">
        <v>12</v>
      </c>
      <c r="C2" s="15"/>
      <c r="D2" s="15"/>
      <c r="E2" s="15"/>
      <c r="F2" s="15"/>
      <c r="H2" s="15" t="s">
        <v>28</v>
      </c>
      <c r="I2" s="15"/>
      <c r="J2" s="15"/>
      <c r="K2" s="15"/>
      <c r="L2" s="15"/>
    </row>
    <row r="3" spans="2:12" ht="21.75" customHeight="1" x14ac:dyDescent="0.25">
      <c r="B3" s="6" t="s">
        <v>13</v>
      </c>
      <c r="C3" s="6" t="s">
        <v>3</v>
      </c>
      <c r="D3" s="4" t="s">
        <v>0</v>
      </c>
      <c r="E3" s="6" t="s">
        <v>10</v>
      </c>
      <c r="F3" s="6" t="s">
        <v>11</v>
      </c>
      <c r="H3" s="6" t="s">
        <v>13</v>
      </c>
      <c r="I3" s="6" t="s">
        <v>3</v>
      </c>
      <c r="J3" s="4" t="s">
        <v>0</v>
      </c>
      <c r="K3" s="6" t="s">
        <v>10</v>
      </c>
      <c r="L3" s="6" t="s">
        <v>11</v>
      </c>
    </row>
    <row r="4" spans="2:12" x14ac:dyDescent="0.25">
      <c r="B4" s="2">
        <v>2</v>
      </c>
      <c r="C4" s="5" t="s">
        <v>15</v>
      </c>
      <c r="D4" s="5" t="s">
        <v>14</v>
      </c>
      <c r="E4" s="5" t="s">
        <v>16</v>
      </c>
      <c r="F4" s="8">
        <v>45197.764710648145</v>
      </c>
      <c r="H4" s="2">
        <v>3</v>
      </c>
      <c r="I4" s="14" t="s">
        <v>20</v>
      </c>
      <c r="J4" s="5" t="s">
        <v>18</v>
      </c>
      <c r="K4" s="5">
        <v>10</v>
      </c>
      <c r="L4" s="8">
        <v>45202.80269675926</v>
      </c>
    </row>
    <row r="5" spans="2:12" x14ac:dyDescent="0.25">
      <c r="B5" s="2">
        <v>3</v>
      </c>
      <c r="C5" s="5" t="s">
        <v>15</v>
      </c>
      <c r="D5" s="5" t="s">
        <v>14</v>
      </c>
      <c r="E5" s="5" t="s">
        <v>16</v>
      </c>
      <c r="F5" s="8">
        <v>45197.768530092595</v>
      </c>
      <c r="H5" s="2">
        <v>4</v>
      </c>
      <c r="I5" s="14" t="s">
        <v>20</v>
      </c>
      <c r="J5" s="5" t="s">
        <v>18</v>
      </c>
      <c r="K5" s="5">
        <v>4</v>
      </c>
      <c r="L5" s="8">
        <v>44995.835844907408</v>
      </c>
    </row>
    <row r="6" spans="2:12" x14ac:dyDescent="0.25">
      <c r="B6" s="2">
        <v>4</v>
      </c>
      <c r="C6" s="5" t="s">
        <v>15</v>
      </c>
      <c r="D6" s="5" t="s">
        <v>14</v>
      </c>
      <c r="E6" s="5" t="s">
        <v>16</v>
      </c>
      <c r="F6" s="8">
        <v>45197.768599537034</v>
      </c>
      <c r="H6" s="2">
        <v>5</v>
      </c>
      <c r="I6" s="14" t="s">
        <v>20</v>
      </c>
      <c r="J6" s="5" t="s">
        <v>18</v>
      </c>
      <c r="K6" s="5">
        <v>4</v>
      </c>
      <c r="L6" s="8">
        <v>44995.837650462963</v>
      </c>
    </row>
    <row r="7" spans="2:12" x14ac:dyDescent="0.25">
      <c r="B7" s="7" t="s">
        <v>26</v>
      </c>
      <c r="C7" s="14" t="s">
        <v>22</v>
      </c>
      <c r="D7" s="9" t="s">
        <v>23</v>
      </c>
      <c r="E7" s="5">
        <v>20</v>
      </c>
      <c r="F7" s="8">
        <v>45202.801863425928</v>
      </c>
      <c r="H7" s="2">
        <v>6</v>
      </c>
      <c r="I7" s="14" t="s">
        <v>20</v>
      </c>
      <c r="J7" s="5" t="s">
        <v>18</v>
      </c>
      <c r="K7" s="5">
        <v>4</v>
      </c>
      <c r="L7" s="8">
        <v>44995.845891203702</v>
      </c>
    </row>
    <row r="8" spans="2:12" x14ac:dyDescent="0.25">
      <c r="B8" s="7" t="s">
        <v>27</v>
      </c>
      <c r="C8" s="14" t="s">
        <v>20</v>
      </c>
      <c r="D8" s="9" t="s">
        <v>18</v>
      </c>
      <c r="E8" s="5">
        <v>10</v>
      </c>
      <c r="F8" s="8">
        <v>44995.848993055559</v>
      </c>
    </row>
  </sheetData>
  <mergeCells count="2">
    <mergeCell ref="B2:F2"/>
    <mergeCell ref="H2:L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Productos</vt:lpstr>
      <vt:lpstr>Movimientos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</dc:creator>
  <cp:lastModifiedBy>Jorge Luis</cp:lastModifiedBy>
  <dcterms:created xsi:type="dcterms:W3CDTF">2023-09-18T21:29:47Z</dcterms:created>
  <dcterms:modified xsi:type="dcterms:W3CDTF">2023-10-05T00:14:01Z</dcterms:modified>
</cp:coreProperties>
</file>